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8220892-8B38-4EC3-8FEA-84803283C002}" xr6:coauthVersionLast="47" xr6:coauthVersionMax="47" xr10:uidLastSave="{00000000-0000-0000-0000-000000000000}"/>
  <bookViews>
    <workbookView xWindow="-120" yWindow="-120" windowWidth="29040" windowHeight="15720" xr2:uid="{64BCD2E3-792C-4A8C-8D64-6781927A6B08}"/>
  </bookViews>
  <sheets>
    <sheet name="Calendar " sheetId="9" r:id="rId1"/>
    <sheet name="Settings" sheetId="4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7" i="9" l="1"/>
  <c r="AQ7" i="9"/>
  <c r="AR7" i="9"/>
  <c r="AS7" i="9"/>
  <c r="AT7" i="9"/>
  <c r="AU7" i="9"/>
  <c r="AV7" i="9"/>
  <c r="AW7" i="9"/>
  <c r="AX7" i="9"/>
  <c r="AY7" i="9"/>
  <c r="AO7" i="9"/>
  <c r="AN7" i="9"/>
  <c r="AN9" i="9"/>
  <c r="AY9" i="9"/>
  <c r="AX9" i="9"/>
  <c r="AW9" i="9"/>
  <c r="AV9" i="9"/>
  <c r="AU9" i="9"/>
  <c r="AT9" i="9"/>
  <c r="AS9" i="9"/>
  <c r="AR9" i="9"/>
  <c r="AQ9" i="9"/>
  <c r="AP9" i="9"/>
  <c r="AO9" i="9"/>
  <c r="AN10" i="9"/>
  <c r="AO10" i="9"/>
  <c r="AP10" i="9"/>
  <c r="AQ10" i="9"/>
  <c r="AR10" i="9"/>
  <c r="AS10" i="9"/>
  <c r="AT10" i="9"/>
  <c r="AU10" i="9"/>
  <c r="AV10" i="9"/>
  <c r="AW10" i="9"/>
  <c r="AX10" i="9"/>
  <c r="AY10" i="9"/>
  <c r="AN11" i="9"/>
  <c r="AO11" i="9"/>
  <c r="AP11" i="9"/>
  <c r="AQ11" i="9"/>
  <c r="AR11" i="9"/>
  <c r="AS11" i="9"/>
  <c r="AT11" i="9"/>
  <c r="AU11" i="9"/>
  <c r="AV11" i="9"/>
  <c r="AW11" i="9"/>
  <c r="AX11" i="9"/>
  <c r="AY11" i="9"/>
  <c r="AN12" i="9"/>
  <c r="AO12" i="9"/>
  <c r="AP12" i="9"/>
  <c r="AQ12" i="9"/>
  <c r="AR12" i="9"/>
  <c r="AS12" i="9"/>
  <c r="AT12" i="9"/>
  <c r="AU12" i="9"/>
  <c r="AV12" i="9"/>
  <c r="AW12" i="9"/>
  <c r="AX12" i="9"/>
  <c r="AY12" i="9"/>
  <c r="AN13" i="9"/>
  <c r="AO13" i="9"/>
  <c r="AP13" i="9"/>
  <c r="AQ13" i="9"/>
  <c r="AR13" i="9"/>
  <c r="AS13" i="9"/>
  <c r="AT13" i="9"/>
  <c r="AU13" i="9"/>
  <c r="AV13" i="9"/>
  <c r="AW13" i="9"/>
  <c r="AX13" i="9"/>
  <c r="AY13" i="9"/>
  <c r="AN14" i="9"/>
  <c r="AO14" i="9"/>
  <c r="AP14" i="9"/>
  <c r="AQ14" i="9"/>
  <c r="AR14" i="9"/>
  <c r="AS14" i="9"/>
  <c r="AT14" i="9"/>
  <c r="AU14" i="9"/>
  <c r="AV14" i="9"/>
  <c r="AW14" i="9"/>
  <c r="AX14" i="9"/>
  <c r="AY14" i="9"/>
  <c r="AN15" i="9"/>
  <c r="AO15" i="9"/>
  <c r="AP15" i="9"/>
  <c r="AQ15" i="9"/>
  <c r="AR15" i="9"/>
  <c r="AS15" i="9"/>
  <c r="AT15" i="9"/>
  <c r="AU15" i="9"/>
  <c r="AV15" i="9"/>
  <c r="AW15" i="9"/>
  <c r="AX15" i="9"/>
  <c r="AY15" i="9"/>
  <c r="AN16" i="9"/>
  <c r="AO16" i="9"/>
  <c r="AP16" i="9"/>
  <c r="AQ16" i="9"/>
  <c r="AR16" i="9"/>
  <c r="AS16" i="9"/>
  <c r="AT16" i="9"/>
  <c r="AU16" i="9"/>
  <c r="AV16" i="9"/>
  <c r="AW16" i="9"/>
  <c r="AX16" i="9"/>
  <c r="AY16" i="9"/>
  <c r="AN17" i="9"/>
  <c r="AO17" i="9"/>
  <c r="AP17" i="9"/>
  <c r="AQ17" i="9"/>
  <c r="AR17" i="9"/>
  <c r="AS17" i="9"/>
  <c r="AT17" i="9"/>
  <c r="AU17" i="9"/>
  <c r="AV17" i="9"/>
  <c r="AW17" i="9"/>
  <c r="AX17" i="9"/>
  <c r="AY17" i="9"/>
  <c r="AN18" i="9"/>
  <c r="AO18" i="9"/>
  <c r="AP18" i="9"/>
  <c r="AQ18" i="9"/>
  <c r="AR18" i="9"/>
  <c r="AS18" i="9"/>
  <c r="AT18" i="9"/>
  <c r="AU18" i="9"/>
  <c r="AV18" i="9"/>
  <c r="AW18" i="9"/>
  <c r="AX18" i="9"/>
  <c r="AY18" i="9"/>
  <c r="AN19" i="9"/>
  <c r="AO19" i="9"/>
  <c r="AP19" i="9"/>
  <c r="AQ19" i="9"/>
  <c r="AR19" i="9"/>
  <c r="AS19" i="9"/>
  <c r="AT19" i="9"/>
  <c r="AU19" i="9"/>
  <c r="AV19" i="9"/>
  <c r="AW19" i="9"/>
  <c r="AX19" i="9"/>
  <c r="AY19" i="9"/>
  <c r="AN20" i="9"/>
  <c r="AO20" i="9"/>
  <c r="AP20" i="9"/>
  <c r="AQ20" i="9"/>
  <c r="AR20" i="9"/>
  <c r="AS20" i="9"/>
  <c r="AT20" i="9"/>
  <c r="AU20" i="9"/>
  <c r="AV20" i="9"/>
  <c r="AW20" i="9"/>
  <c r="AX20" i="9"/>
  <c r="AY20" i="9"/>
  <c r="AY21" i="9" l="1"/>
  <c r="AY22" i="9"/>
  <c r="AY23" i="9"/>
  <c r="AY24" i="9"/>
  <c r="AY25" i="9"/>
  <c r="AY26" i="9"/>
  <c r="AY27" i="9"/>
  <c r="AY28" i="9"/>
  <c r="AP21" i="9"/>
  <c r="AP22" i="9"/>
  <c r="AP23" i="9"/>
  <c r="AP24" i="9"/>
  <c r="AP25" i="9"/>
  <c r="AP26" i="9"/>
  <c r="AP27" i="9"/>
  <c r="AP28" i="9"/>
  <c r="AX28" i="9"/>
  <c r="AW28" i="9"/>
  <c r="AV28" i="9"/>
  <c r="AU28" i="9"/>
  <c r="AT28" i="9"/>
  <c r="AS28" i="9"/>
  <c r="AR28" i="9"/>
  <c r="AQ28" i="9"/>
  <c r="AO28" i="9"/>
  <c r="AN28" i="9"/>
  <c r="D28" i="9"/>
  <c r="G28" i="9" s="1"/>
  <c r="AX27" i="9"/>
  <c r="AW27" i="9"/>
  <c r="AV27" i="9"/>
  <c r="AU27" i="9"/>
  <c r="AT27" i="9"/>
  <c r="AS27" i="9"/>
  <c r="AR27" i="9"/>
  <c r="AQ27" i="9"/>
  <c r="AO27" i="9"/>
  <c r="AN27" i="9"/>
  <c r="D27" i="9"/>
  <c r="G27" i="9" s="1"/>
  <c r="AX26" i="9"/>
  <c r="AW26" i="9"/>
  <c r="AV26" i="9"/>
  <c r="AU26" i="9"/>
  <c r="AT26" i="9"/>
  <c r="AS26" i="9"/>
  <c r="AR26" i="9"/>
  <c r="AQ26" i="9"/>
  <c r="AO26" i="9"/>
  <c r="AN26" i="9"/>
  <c r="D26" i="9"/>
  <c r="G26" i="9" s="1"/>
  <c r="AX25" i="9"/>
  <c r="AW25" i="9"/>
  <c r="AV25" i="9"/>
  <c r="AU25" i="9"/>
  <c r="AT25" i="9"/>
  <c r="AS25" i="9"/>
  <c r="AR25" i="9"/>
  <c r="AQ25" i="9"/>
  <c r="AO25" i="9"/>
  <c r="AN25" i="9"/>
  <c r="D25" i="9"/>
  <c r="G25" i="9" s="1"/>
  <c r="AX24" i="9"/>
  <c r="AW24" i="9"/>
  <c r="AV24" i="9"/>
  <c r="AU24" i="9"/>
  <c r="AT24" i="9"/>
  <c r="AS24" i="9"/>
  <c r="AR24" i="9"/>
  <c r="AQ24" i="9"/>
  <c r="AO24" i="9"/>
  <c r="AN24" i="9"/>
  <c r="D24" i="9"/>
  <c r="G24" i="9" s="1"/>
  <c r="AX23" i="9"/>
  <c r="AW23" i="9"/>
  <c r="AV23" i="9"/>
  <c r="AU23" i="9"/>
  <c r="AT23" i="9"/>
  <c r="AS23" i="9"/>
  <c r="AR23" i="9"/>
  <c r="AQ23" i="9"/>
  <c r="AO23" i="9"/>
  <c r="AN23" i="9"/>
  <c r="D23" i="9"/>
  <c r="E23" i="9" s="1"/>
  <c r="AX22" i="9"/>
  <c r="AW22" i="9"/>
  <c r="AV22" i="9"/>
  <c r="AU22" i="9"/>
  <c r="AT22" i="9"/>
  <c r="AS22" i="9"/>
  <c r="AR22" i="9"/>
  <c r="AQ22" i="9"/>
  <c r="AO22" i="9"/>
  <c r="AN22" i="9"/>
  <c r="D22" i="9"/>
  <c r="G22" i="9" s="1"/>
  <c r="AX21" i="9"/>
  <c r="AW21" i="9"/>
  <c r="AV21" i="9"/>
  <c r="AU21" i="9"/>
  <c r="AT21" i="9"/>
  <c r="AS21" i="9"/>
  <c r="AR21" i="9"/>
  <c r="AQ21" i="9"/>
  <c r="AO21" i="9"/>
  <c r="AN21" i="9"/>
  <c r="D21" i="9"/>
  <c r="E21" i="9" s="1"/>
  <c r="D20" i="9"/>
  <c r="E20" i="9" s="1"/>
  <c r="D19" i="9"/>
  <c r="G19" i="9" s="1"/>
  <c r="D18" i="9"/>
  <c r="E18" i="9" s="1"/>
  <c r="D17" i="9"/>
  <c r="E17" i="9" s="1"/>
  <c r="BA17" i="9" s="1"/>
  <c r="D16" i="9"/>
  <c r="E16" i="9" s="1"/>
  <c r="D15" i="9"/>
  <c r="G15" i="9" s="1"/>
  <c r="D14" i="9"/>
  <c r="E14" i="9" s="1"/>
  <c r="D13" i="9"/>
  <c r="G13" i="9" s="1"/>
  <c r="D12" i="9"/>
  <c r="G12" i="9" s="1"/>
  <c r="D11" i="9"/>
  <c r="G11" i="9" s="1"/>
  <c r="D10" i="9"/>
  <c r="G10" i="9" s="1"/>
  <c r="I9" i="9"/>
  <c r="J9" i="9" s="1"/>
  <c r="G18" i="9" l="1"/>
  <c r="G23" i="9"/>
  <c r="G16" i="9"/>
  <c r="G21" i="9"/>
  <c r="AZ18" i="9"/>
  <c r="H17" i="9"/>
  <c r="AZ17" i="9"/>
  <c r="AZ14" i="9"/>
  <c r="H14" i="9"/>
  <c r="BA14" i="9"/>
  <c r="AZ20" i="9"/>
  <c r="BA20" i="9"/>
  <c r="H20" i="9"/>
  <c r="BA23" i="9"/>
  <c r="AZ23" i="9"/>
  <c r="H23" i="9"/>
  <c r="K9" i="9"/>
  <c r="J7" i="9"/>
  <c r="H21" i="9"/>
  <c r="BA21" i="9"/>
  <c r="AZ21" i="9"/>
  <c r="BA18" i="9"/>
  <c r="E13" i="9"/>
  <c r="G14" i="9"/>
  <c r="E25" i="9"/>
  <c r="E15" i="9"/>
  <c r="G20" i="9"/>
  <c r="E10" i="9"/>
  <c r="BA10" i="9" s="1"/>
  <c r="BC10" i="9" s="1"/>
  <c r="E26" i="9"/>
  <c r="I7" i="9"/>
  <c r="AZ16" i="9"/>
  <c r="H18" i="9"/>
  <c r="E19" i="9"/>
  <c r="E27" i="9"/>
  <c r="H16" i="9"/>
  <c r="E12" i="9"/>
  <c r="G17" i="9"/>
  <c r="E28" i="9"/>
  <c r="BA28" i="9" s="1"/>
  <c r="E24" i="9"/>
  <c r="BA16" i="9"/>
  <c r="E11" i="9"/>
  <c r="BA11" i="9" s="1"/>
  <c r="E22" i="9"/>
  <c r="H26" i="9" l="1"/>
  <c r="BA26" i="9"/>
  <c r="AZ26" i="9"/>
  <c r="H10" i="9"/>
  <c r="AZ10" i="9"/>
  <c r="BA22" i="9"/>
  <c r="AZ22" i="9"/>
  <c r="H22" i="9"/>
  <c r="H11" i="9"/>
  <c r="AZ11" i="9"/>
  <c r="H15" i="9"/>
  <c r="BA15" i="9"/>
  <c r="AZ15" i="9"/>
  <c r="BA25" i="9"/>
  <c r="AZ25" i="9"/>
  <c r="H25" i="9"/>
  <c r="BA24" i="9"/>
  <c r="H24" i="9"/>
  <c r="AZ24" i="9"/>
  <c r="AZ28" i="9"/>
  <c r="H28" i="9"/>
  <c r="H13" i="9"/>
  <c r="AZ13" i="9"/>
  <c r="BA13" i="9"/>
  <c r="AZ12" i="9"/>
  <c r="BA12" i="9"/>
  <c r="H12" i="9"/>
  <c r="H27" i="9"/>
  <c r="BA27" i="9"/>
  <c r="AZ27" i="9"/>
  <c r="H19" i="9"/>
  <c r="BA19" i="9"/>
  <c r="AZ19" i="9"/>
  <c r="L9" i="9"/>
  <c r="K7" i="9"/>
  <c r="L7" i="9" l="1"/>
  <c r="M9" i="9"/>
  <c r="N9" i="9" l="1"/>
  <c r="M7" i="9"/>
  <c r="O9" i="9" l="1"/>
  <c r="N7" i="9"/>
  <c r="P9" i="9" l="1"/>
  <c r="O7" i="9"/>
  <c r="Q9" i="9" l="1"/>
  <c r="P7" i="9"/>
  <c r="R9" i="9" l="1"/>
  <c r="Q7" i="9"/>
  <c r="R7" i="9" l="1"/>
  <c r="S9" i="9"/>
  <c r="T9" i="9" l="1"/>
  <c r="S7" i="9"/>
  <c r="U9" i="9" l="1"/>
  <c r="T7" i="9"/>
  <c r="V9" i="9" l="1"/>
  <c r="U7" i="9"/>
  <c r="W9" i="9" l="1"/>
  <c r="V7" i="9"/>
  <c r="X9" i="9" l="1"/>
  <c r="W7" i="9"/>
  <c r="Y9" i="9" l="1"/>
  <c r="X7" i="9"/>
  <c r="Z9" i="9" l="1"/>
  <c r="Y7" i="9"/>
  <c r="AA9" i="9" l="1"/>
  <c r="Z7" i="9"/>
  <c r="AA7" i="9" l="1"/>
  <c r="AB9" i="9"/>
  <c r="AC9" i="9" l="1"/>
  <c r="AB7" i="9"/>
  <c r="AD9" i="9" l="1"/>
  <c r="AC7" i="9"/>
  <c r="AE9" i="9" l="1"/>
  <c r="AD7" i="9"/>
  <c r="AF9" i="9" l="1"/>
  <c r="AE7" i="9"/>
  <c r="AG9" i="9" l="1"/>
  <c r="AF7" i="9"/>
  <c r="AH9" i="9" l="1"/>
  <c r="AG7" i="9"/>
  <c r="AI9" i="9" l="1"/>
  <c r="AH7" i="9"/>
  <c r="AJ9" i="9" l="1"/>
  <c r="AI7" i="9"/>
  <c r="AK9" i="9" l="1"/>
  <c r="AJ7" i="9"/>
  <c r="AK7" i="9" l="1"/>
  <c r="AL9" i="9"/>
  <c r="AM9" i="9" l="1"/>
  <c r="AL7" i="9"/>
  <c r="BC18" i="9" l="1"/>
  <c r="BC13" i="9"/>
  <c r="BC12" i="9"/>
  <c r="BC27" i="9"/>
  <c r="BC15" i="9"/>
  <c r="BC14" i="9"/>
  <c r="BC16" i="9"/>
  <c r="BC25" i="9"/>
  <c r="BC21" i="9"/>
  <c r="BC22" i="9"/>
  <c r="BC23" i="9"/>
  <c r="BC28" i="9"/>
  <c r="BC11" i="9"/>
  <c r="BC26" i="9"/>
  <c r="BC17" i="9"/>
  <c r="BC20" i="9"/>
  <c r="BC24" i="9"/>
  <c r="BC19" i="9"/>
  <c r="AM7" i="9"/>
  <c r="BE19" i="9" l="1" a="1"/>
  <c r="BE19" i="9" s="1"/>
  <c r="BD19" i="9" s="1"/>
  <c r="BE25" i="9" a="1"/>
  <c r="BE25" i="9" s="1"/>
  <c r="BD25" i="9" s="1"/>
  <c r="BE17" i="9" a="1"/>
  <c r="BE17" i="9" s="1"/>
  <c r="BD17" i="9" s="1"/>
  <c r="BE23" i="9" a="1"/>
  <c r="BE23" i="9" s="1"/>
  <c r="BD23" i="9" s="1"/>
  <c r="BE20" i="9" a="1"/>
  <c r="BE20" i="9" s="1"/>
  <c r="BD20" i="9" s="1"/>
  <c r="BE28" i="9" a="1"/>
  <c r="BE28" i="9" s="1"/>
  <c r="BD28" i="9" s="1"/>
  <c r="BE10" i="9" a="1"/>
  <c r="BE10" i="9" s="1"/>
  <c r="BD10" i="9" s="1"/>
  <c r="BE18" i="9" a="1"/>
  <c r="BE18" i="9" s="1"/>
  <c r="BD18" i="9" s="1"/>
  <c r="BE14" i="9" a="1"/>
  <c r="BE14" i="9" s="1"/>
  <c r="BD14" i="9" s="1"/>
  <c r="BE21" i="9" a="1"/>
  <c r="BE21" i="9" s="1"/>
  <c r="BD21" i="9" s="1"/>
  <c r="BE27" i="9" a="1"/>
  <c r="BE27" i="9" s="1"/>
  <c r="BD27" i="9" s="1"/>
  <c r="BE12" i="9" a="1"/>
  <c r="BE12" i="9" s="1"/>
  <c r="BD12" i="9" s="1"/>
  <c r="BE15" i="9" a="1"/>
  <c r="BE15" i="9" s="1"/>
  <c r="BD15" i="9" s="1"/>
  <c r="BE16" i="9" a="1"/>
  <c r="BE16" i="9" s="1"/>
  <c r="BD16" i="9" s="1"/>
  <c r="BE13" i="9" a="1"/>
  <c r="BE13" i="9" s="1"/>
  <c r="BD13" i="9" s="1"/>
  <c r="BE22" i="9" a="1"/>
  <c r="BE22" i="9" s="1"/>
  <c r="BD22" i="9" s="1"/>
  <c r="BE11" i="9" a="1"/>
  <c r="BE11" i="9" s="1"/>
  <c r="BD11" i="9" s="1"/>
  <c r="BE24" i="9" a="1"/>
  <c r="BE24" i="9" s="1"/>
  <c r="BD24" i="9" s="1"/>
  <c r="BE26" i="9" a="1"/>
  <c r="BE26" i="9" s="1"/>
  <c r="BD26" i="9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<sst xmlns="http://schemas.openxmlformats.org/spreadsheetml/2006/main" count="158" uniqueCount="129">
  <si>
    <t xml:space="preserve">Year 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</si>
  <si>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</si>
  <si>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</si>
  <si>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</si>
  <si>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</si>
  <si>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</si>
  <si>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</si>
  <si>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</si>
  <si>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</si>
  <si>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</si>
  <si>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</si>
  <si>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</si>
  <si>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</si>
  <si>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Months</t>
  </si>
  <si>
    <t>Employee Name</t>
  </si>
  <si>
    <t>Employee ID</t>
  </si>
  <si>
    <t>A</t>
  </si>
  <si>
    <t>H</t>
  </si>
  <si>
    <t>P</t>
  </si>
  <si>
    <t>Words</t>
  </si>
  <si>
    <t>Code</t>
  </si>
  <si>
    <t>Present</t>
  </si>
  <si>
    <t>Maternity or Paternity</t>
  </si>
  <si>
    <t>MPL</t>
  </si>
  <si>
    <t>Half Day</t>
  </si>
  <si>
    <t>HD</t>
  </si>
  <si>
    <t>Work From Home</t>
  </si>
  <si>
    <t>WFH</t>
  </si>
  <si>
    <t>Holidays</t>
  </si>
  <si>
    <t>Week Offs</t>
  </si>
  <si>
    <t>WO</t>
  </si>
  <si>
    <t>Absent / No Show</t>
  </si>
  <si>
    <t>Left</t>
  </si>
  <si>
    <t>LT</t>
  </si>
  <si>
    <t>Casual Leaves</t>
  </si>
  <si>
    <t>CL</t>
  </si>
  <si>
    <t>Short Leaves</t>
  </si>
  <si>
    <t>SL</t>
  </si>
  <si>
    <t>Legal</t>
  </si>
  <si>
    <t>Data Analyst</t>
  </si>
  <si>
    <t>Designation</t>
  </si>
  <si>
    <t>Attendance Tracker</t>
  </si>
  <si>
    <t>Monthly Salary</t>
  </si>
  <si>
    <t>Payable Salary</t>
  </si>
  <si>
    <t>Earned Leave</t>
  </si>
  <si>
    <t>EL</t>
  </si>
  <si>
    <t>Total Leaves</t>
  </si>
  <si>
    <t>Department</t>
  </si>
  <si>
    <t>Emp. ID</t>
  </si>
  <si>
    <t>Actual Salary</t>
  </si>
  <si>
    <t>Remark</t>
  </si>
  <si>
    <t>Legal Advisor</t>
  </si>
  <si>
    <t>Payable Sunday</t>
  </si>
  <si>
    <t>Cost Centre</t>
  </si>
  <si>
    <t>Recruitment</t>
  </si>
  <si>
    <t>M&amp;A</t>
  </si>
  <si>
    <t xml:space="preserve"> </t>
  </si>
  <si>
    <t>Skrilz</t>
  </si>
  <si>
    <t>Payable Days</t>
  </si>
  <si>
    <t>Sick Leave</t>
  </si>
  <si>
    <t>SHL</t>
  </si>
  <si>
    <t>EMP001</t>
  </si>
  <si>
    <t>Aarav Sharma</t>
  </si>
  <si>
    <t>Software Engineer</t>
  </si>
  <si>
    <t>Engineering</t>
  </si>
  <si>
    <t>EMP002</t>
  </si>
  <si>
    <t>Priya Verma</t>
  </si>
  <si>
    <t>Analytics</t>
  </si>
  <si>
    <t>EMP003</t>
  </si>
  <si>
    <t>Rohan Gupta</t>
  </si>
  <si>
    <t>Product Manager</t>
  </si>
  <si>
    <t>Product</t>
  </si>
  <si>
    <t>EMP004</t>
  </si>
  <si>
    <t>Ananya Iyer</t>
  </si>
  <si>
    <t>UX/UI Designer</t>
  </si>
  <si>
    <t>Design</t>
  </si>
  <si>
    <t>EMP005</t>
  </si>
  <si>
    <t>Vikram Malhotra</t>
  </si>
  <si>
    <t>Senior Developer</t>
  </si>
  <si>
    <t>EMP006</t>
  </si>
  <si>
    <t>Neha Singh</t>
  </si>
  <si>
    <t>HR Generalist</t>
  </si>
  <si>
    <t>Human Resources</t>
  </si>
  <si>
    <t>EMP007</t>
  </si>
  <si>
    <t>Amit Patel</t>
  </si>
  <si>
    <t>Financial Analyst</t>
  </si>
  <si>
    <t>Finance</t>
  </si>
  <si>
    <t>EMP008</t>
  </si>
  <si>
    <t>Sneha Joshi</t>
  </si>
  <si>
    <t>Marketing Specialist</t>
  </si>
  <si>
    <t>Marketing</t>
  </si>
  <si>
    <t>EMP009</t>
  </si>
  <si>
    <t>Rahul Mehta</t>
  </si>
  <si>
    <t>DevOps Engineer</t>
  </si>
  <si>
    <t>EMP010</t>
  </si>
  <si>
    <t>Pooja Nair</t>
  </si>
  <si>
    <t>QA Automation Engineer</t>
  </si>
  <si>
    <t>Quality Assurance</t>
  </si>
  <si>
    <t>EMP011</t>
  </si>
  <si>
    <t>Karan Kapoor</t>
  </si>
  <si>
    <t>Content Strategist</t>
  </si>
  <si>
    <t>EMP012</t>
  </si>
  <si>
    <t>Ritu Sen</t>
  </si>
  <si>
    <t>Business Analyst</t>
  </si>
  <si>
    <t>Strategy</t>
  </si>
  <si>
    <t>EMP013</t>
  </si>
  <si>
    <t>Manish Kulkarni</t>
  </si>
  <si>
    <t>System Administrator</t>
  </si>
  <si>
    <t>IT Support</t>
  </si>
  <si>
    <t>EMP014</t>
  </si>
  <si>
    <t>Divya Pillai</t>
  </si>
  <si>
    <t>EMP015</t>
  </si>
  <si>
    <t>Sameer Khan</t>
  </si>
  <si>
    <t>Sales Manager</t>
  </si>
  <si>
    <t>Sales</t>
  </si>
  <si>
    <t>EMP016</t>
  </si>
  <si>
    <t>Pooja Rao</t>
  </si>
  <si>
    <t>Customer Support Lead</t>
  </si>
  <si>
    <t>Customer Success</t>
  </si>
  <si>
    <t>EMP017</t>
  </si>
  <si>
    <t>Alok Tiwari</t>
  </si>
  <si>
    <t>Operations Manager</t>
  </si>
  <si>
    <t>Operations</t>
  </si>
  <si>
    <t>EMP018</t>
  </si>
  <si>
    <t>Tanvi Deshmukh</t>
  </si>
  <si>
    <t>Accountant</t>
  </si>
  <si>
    <t>EMP019</t>
  </si>
  <si>
    <t>Kunal Roy</t>
  </si>
  <si>
    <t>Frontend Developer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</si>
</sst>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"/>
    <numFmt numFmtId="165" formatCode="&quot;₹&quot;\ #,##0.00"/>
  </numFmts>
  <fonts count="1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36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72"/>
      <color rgb="FF9C0006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sz val="28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indexed="64"/>
      </patternFill>
    </fill>
    <fill>
      <patternFill patternType="solid">
        <fgColor rgb="FFFFC7CE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 tint="0.79998168889431442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9" fillId="4" borderId="0" applyNumberFormat="0" applyBorder="0" applyAlignment="0" applyProtection="0"/>
  </cellStyleXfs>
  <cellXfs count="49">
    <xf numFmtId="0" fontId="0" fillId="0" borderId="0" xfId="0"/>
    <xf numFmtId="0" fontId="4" fillId="0" borderId="0" xfId="0" applyFont="1"/>
    <xf numFmtId="0" fontId="5" fillId="0" borderId="0" xfId="0" applyFont="1"/>
    <xf numFmtId="0" fontId="8" fillId="3" borderId="2" xfId="0" applyFont="1" applyFill="1" applyBorder="1"/>
    <xf numFmtId="0" fontId="8" fillId="3" borderId="0" xfId="0" applyFont="1" applyFill="1"/>
    <xf numFmtId="0" fontId="5" fillId="2" borderId="2" xfId="0" applyFont="1" applyFill="1" applyBorder="1"/>
    <xf numFmtId="0" fontId="5" fillId="2" borderId="3" xfId="0" applyFont="1" applyFill="1" applyBorder="1"/>
    <xf numFmtId="0" fontId="5" fillId="0" borderId="2" xfId="0" applyFont="1" applyBorder="1"/>
    <xf numFmtId="0" fontId="5" fillId="0" borderId="3" xfId="0" applyFont="1" applyBorder="1"/>
    <xf numFmtId="0" fontId="5" fillId="2" borderId="4" xfId="0" applyFont="1" applyFill="1" applyBorder="1"/>
    <xf numFmtId="0" fontId="5" fillId="0" borderId="5" xfId="0" applyFont="1" applyBorder="1"/>
    <xf numFmtId="0" fontId="5" fillId="0" borderId="1" xfId="0" applyFont="1" applyBorder="1"/>
    <xf numFmtId="0" fontId="2" fillId="0" borderId="1" xfId="0" applyFont="1" applyBorder="1"/>
    <xf numFmtId="164" fontId="3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5" fillId="0" borderId="6" xfId="0" applyFont="1" applyBorder="1"/>
    <xf numFmtId="0" fontId="5" fillId="0" borderId="17" xfId="0" applyFont="1" applyBorder="1"/>
    <xf numFmtId="0" fontId="5" fillId="3" borderId="18" xfId="0" applyFont="1" applyFill="1" applyBorder="1"/>
    <xf numFmtId="0" fontId="0" fillId="0" borderId="10" xfId="0" applyBorder="1"/>
    <xf numFmtId="0" fontId="5" fillId="0" borderId="15" xfId="0" applyFont="1" applyBorder="1"/>
    <xf numFmtId="0" fontId="5" fillId="0" borderId="16" xfId="0" applyFont="1" applyBorder="1"/>
    <xf numFmtId="0" fontId="7" fillId="5" borderId="4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13" fillId="0" borderId="1" xfId="0" applyFont="1" applyBorder="1"/>
    <xf numFmtId="165" fontId="13" fillId="0" borderId="1" xfId="0" applyNumberFormat="1" applyFont="1" applyBorder="1"/>
    <xf numFmtId="0" fontId="12" fillId="0" borderId="1" xfId="0" applyFont="1" applyBorder="1" applyAlignment="1">
      <alignment horizontal="center"/>
    </xf>
    <xf numFmtId="0" fontId="12" fillId="5" borderId="1" xfId="0" applyFont="1" applyFill="1" applyBorder="1" applyAlignment="1">
      <alignment horizontal="center"/>
    </xf>
    <xf numFmtId="0" fontId="12" fillId="6" borderId="1" xfId="0" applyFont="1" applyFill="1" applyBorder="1" applyAlignment="1">
      <alignment horizontal="center"/>
    </xf>
    <xf numFmtId="0" fontId="14" fillId="0" borderId="0" xfId="0" applyFont="1"/>
    <xf numFmtId="0" fontId="3" fillId="7" borderId="1" xfId="0" applyFont="1" applyFill="1" applyBorder="1" applyAlignment="1">
      <alignment horizontal="center" vertical="center"/>
    </xf>
    <xf numFmtId="0" fontId="11" fillId="4" borderId="7" xfId="1" applyFont="1" applyBorder="1" applyAlignment="1">
      <alignment horizontal="center" vertical="center"/>
    </xf>
    <xf numFmtId="0" fontId="11" fillId="4" borderId="8" xfId="1" applyFont="1" applyBorder="1" applyAlignment="1">
      <alignment horizontal="center" vertical="center"/>
    </xf>
    <xf numFmtId="0" fontId="11" fillId="4" borderId="9" xfId="1" applyFont="1" applyBorder="1" applyAlignment="1">
      <alignment horizontal="center" vertical="center"/>
    </xf>
    <xf numFmtId="0" fontId="11" fillId="4" borderId="10" xfId="1" applyFont="1" applyBorder="1" applyAlignment="1">
      <alignment horizontal="center" vertical="center"/>
    </xf>
    <xf numFmtId="0" fontId="11" fillId="4" borderId="0" xfId="1" applyFont="1" applyBorder="1" applyAlignment="1">
      <alignment horizontal="center" vertical="center"/>
    </xf>
    <xf numFmtId="0" fontId="11" fillId="4" borderId="11" xfId="1" applyFont="1" applyBorder="1" applyAlignment="1">
      <alignment horizontal="center" vertical="center"/>
    </xf>
    <xf numFmtId="0" fontId="11" fillId="4" borderId="12" xfId="1" applyFont="1" applyBorder="1" applyAlignment="1">
      <alignment horizontal="center" vertical="center"/>
    </xf>
    <xf numFmtId="0" fontId="11" fillId="4" borderId="13" xfId="1" applyFont="1" applyBorder="1" applyAlignment="1">
      <alignment horizontal="center" vertical="center"/>
    </xf>
    <xf numFmtId="0" fontId="11" fillId="4" borderId="14" xfId="1" applyFont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/>
    </xf>
    <xf numFmtId="0" fontId="12" fillId="9" borderId="1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center" vertical="center"/>
    </xf>
  </cellXfs>
  <cellStyles count="2">
    <cellStyle name="Bad" xfId="1" builtinId="27"/>
    <cellStyle name="Normal" xfId="0" builtinId="0"/>
  </cellStyles>
  <dxfs count="40">
    <dxf>
      <fill>
        <patternFill>
          <bgColor rgb="FFFF66FF"/>
        </patternFill>
      </fill>
    </dxf>
    <dxf>
      <fill>
        <patternFill>
          <bgColor rgb="FF33CCFF"/>
        </patternFill>
      </fill>
    </dxf>
    <dxf>
      <fill>
        <patternFill>
          <bgColor rgb="FFFF3300"/>
        </patternFill>
      </fill>
    </dxf>
    <dxf>
      <fill>
        <patternFill>
          <bgColor theme="9" tint="0.59996337778862885"/>
        </patternFill>
      </fill>
    </dxf>
    <dxf>
      <fill>
        <patternFill>
          <bgColor rgb="FFFF99FF"/>
        </patternFill>
      </fill>
    </dxf>
    <dxf>
      <fill>
        <patternFill>
          <bgColor rgb="FFFF7C80"/>
        </patternFill>
      </fill>
    </dxf>
    <dxf>
      <fill>
        <patternFill>
          <bgColor rgb="FF99FF99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8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FF3300"/>
        </patternFill>
      </fill>
    </dxf>
    <dxf>
      <fill>
        <patternFill>
          <bgColor rgb="FFFF3300"/>
        </patternFill>
      </fill>
    </dxf>
    <dxf>
      <fill>
        <patternFill>
          <fgColor rgb="FFFF0000"/>
          <bgColor rgb="FFFF0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Aptos Narrow"/>
        <family val="2"/>
        <scheme val="minor"/>
      </font>
      <fill>
        <patternFill patternType="solid">
          <fgColor indexed="64"/>
          <bgColor theme="4"/>
        </patternFill>
      </fill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</dxfs>
  <tableStyles count="0" defaultTableStyle="TableStyleMedium2" defaultPivotStyle="PivotStyleLight16"/>
  <colors>
    <mruColors>
      <color rgb="FFFF3300"/>
      <color rgb="FFFF66FF"/>
      <color rgb="FF33CCFF"/>
      <color rgb="FFFF6600"/>
      <color rgb="FFFF7C80"/>
      <color rgb="FFFF99FF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407739-1E46-4C2F-96E5-4BC8BD923546}" name="Table1" displayName="Table1" ref="A3:A6" totalsRowShown="0" headerRowDxfId="39" dataDxfId="38">
  <autoFilter ref="A3:A6" xr:uid="{B8407739-1E46-4C2F-96E5-4BC8BD923546}"/>
  <tableColumns count="1">
    <tableColumn id="1" xr3:uid="{0D5E9D6A-ED90-4035-97D4-92F35556B547}" name="Year " dataDxfId="3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FBA3006-AF6A-46CA-B441-98BB9908EABB}" name="Table2" displayName="Table2" ref="C3:C15" totalsRowShown="0" headerRowDxfId="36" dataDxfId="35">
  <autoFilter ref="C3:C15" xr:uid="{EFBA3006-AF6A-46CA-B441-98BB9908EABB}"/>
  <tableColumns count="1">
    <tableColumn id="1" xr3:uid="{C6C0F6C5-B52D-4F78-91A9-49F02686FF62}" name="Months" dataDxfId="3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FB76D3F-A45A-4612-A70A-36CF71AB0CBC}" name="Table24" displayName="Table24" ref="I5:I17" totalsRowShown="0" headerRowDxfId="33" dataDxfId="32" tableBorderDxfId="31">
  <autoFilter ref="I5:I17" xr:uid="{AFB76D3F-A45A-4612-A70A-36CF71AB0CBC}"/>
  <tableColumns count="1">
    <tableColumn id="1" xr3:uid="{0FE4BCA5-3789-4591-971D-58EF54FFBC09}" name="Code" dataDxfId="3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0230580-5787-4193-8AC8-9113ECC9A89A}" name="Table5" displayName="Table5" ref="E3:G23" totalsRowShown="0" headerRowDxfId="29" dataDxfId="28">
  <autoFilter ref="E3:G23" xr:uid="{10230580-5787-4193-8AC8-9113ECC9A89A}"/>
  <tableColumns count="3">
    <tableColumn id="1" xr3:uid="{17006045-0B77-4A6B-8CE6-6941466E95E7}" name="Employee Name" dataDxfId="27"/>
    <tableColumn id="2" xr3:uid="{46060DF0-B9D7-49BC-ABF2-D938C4AD715A}" name="Designation" dataDxfId="26"/>
    <tableColumn id="3" xr3:uid="{3619B372-717E-40D3-AF11-39F358C0CC94}" name="Department" dataDxfId="2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1DE51FF-DB19-4D58-8D9F-76AFFEF75C91}" name="Table6" displayName="Table6" ref="D3:D22" totalsRowShown="0" headerRowDxfId="24" dataDxfId="22" headerRowBorderDxfId="23" tableBorderDxfId="21" totalsRowBorderDxfId="20">
  <autoFilter ref="D3:D22" xr:uid="{D1DE51FF-DB19-4D58-8D9F-76AFFEF75C91}"/>
  <tableColumns count="1">
    <tableColumn id="1" xr3:uid="{6493D961-4F5B-43E4-929E-45AAFC3F8EBA}" name="Emp. ID" dataDxfId="1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46C5325-246E-4946-A0A1-F373A3A22C70}" name="Table8" displayName="Table8" ref="L4:L7" totalsRowShown="0" headerRowDxfId="18" dataDxfId="17">
  <autoFilter ref="L4:L7" xr:uid="{746C5325-246E-4946-A0A1-F373A3A22C70}"/>
  <tableColumns count="1">
    <tableColumn id="1" xr3:uid="{1C94EC19-4671-4A7B-BF83-1B478DEDA519}" name="Cost Centre" dataDxfId="1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FFB23-FF38-4CD3-AF69-BA99B1DB3D35}">
  <dimension ref="A1:BF28"/>
  <sheetViews>
    <sheetView tabSelected="1" topLeftCell="A2" zoomScale="37" zoomScaleNormal="56" workbookViewId="0">
      <selection activeCell="Q66" sqref="Q66"/>
    </sheetView>
  </sheetViews>
  <sheetFormatPr defaultRowHeight="15" x14ac:dyDescent="0.25"/>
  <cols>
    <col min="1" max="1" width="35.42578125" bestFit="1" customWidth="1"/>
    <col min="2" max="2" width="0.7109375" customWidth="1"/>
    <col min="3" max="3" width="26.7109375" customWidth="1"/>
    <col min="4" max="4" width="42.85546875" bestFit="1" customWidth="1"/>
    <col min="5" max="5" width="48.85546875" bestFit="1" customWidth="1"/>
    <col min="6" max="6" width="29.140625" bestFit="1" customWidth="1"/>
    <col min="7" max="7" width="62.140625" bestFit="1" customWidth="1"/>
    <col min="8" max="8" width="45.28515625" bestFit="1" customWidth="1"/>
    <col min="9" max="9" width="9.28515625" bestFit="1" customWidth="1"/>
    <col min="10" max="10" width="9.85546875" bestFit="1" customWidth="1"/>
    <col min="11" max="11" width="9.28515625" bestFit="1" customWidth="1"/>
    <col min="12" max="12" width="7.5703125" bestFit="1" customWidth="1"/>
    <col min="13" max="13" width="8.5703125" bestFit="1" customWidth="1"/>
    <col min="14" max="14" width="9.28515625" bestFit="1" customWidth="1"/>
    <col min="15" max="15" width="10.5703125" bestFit="1" customWidth="1"/>
    <col min="16" max="16" width="9.28515625" bestFit="1" customWidth="1"/>
    <col min="17" max="17" width="9.85546875" bestFit="1" customWidth="1"/>
    <col min="18" max="18" width="9.28515625" bestFit="1" customWidth="1"/>
    <col min="19" max="19" width="7.5703125" bestFit="1" customWidth="1"/>
    <col min="20" max="20" width="8.5703125" bestFit="1" customWidth="1"/>
    <col min="21" max="21" width="9.28515625" bestFit="1" customWidth="1"/>
    <col min="22" max="22" width="10.5703125" bestFit="1" customWidth="1"/>
    <col min="23" max="23" width="9.28515625" bestFit="1" customWidth="1"/>
    <col min="24" max="24" width="9.85546875" bestFit="1" customWidth="1"/>
    <col min="25" max="25" width="9.28515625" bestFit="1" customWidth="1"/>
    <col min="26" max="26" width="7.5703125" bestFit="1" customWidth="1"/>
    <col min="27" max="27" width="8.5703125" bestFit="1" customWidth="1"/>
    <col min="28" max="28" width="9.28515625" bestFit="1" customWidth="1"/>
    <col min="29" max="29" width="10.5703125" bestFit="1" customWidth="1"/>
    <col min="30" max="30" width="9.28515625" bestFit="1" customWidth="1"/>
    <col min="31" max="31" width="9.85546875" bestFit="1" customWidth="1"/>
    <col min="32" max="32" width="9.28515625" bestFit="1" customWidth="1"/>
    <col min="33" max="33" width="7.5703125" bestFit="1" customWidth="1"/>
    <col min="34" max="34" width="8.5703125" bestFit="1" customWidth="1"/>
    <col min="35" max="35" width="9.28515625" bestFit="1" customWidth="1"/>
    <col min="36" max="36" width="10.5703125" bestFit="1" customWidth="1"/>
    <col min="37" max="37" width="9.28515625" bestFit="1" customWidth="1"/>
    <col min="38" max="38" width="9.85546875" bestFit="1" customWidth="1"/>
    <col min="39" max="39" width="11.28515625" bestFit="1" customWidth="1"/>
    <col min="40" max="40" width="20.7109375" bestFit="1" customWidth="1"/>
    <col min="41" max="41" width="32.140625" bestFit="1" customWidth="1"/>
    <col min="42" max="42" width="25.28515625" bestFit="1" customWidth="1"/>
    <col min="43" max="43" width="49.28515625" bestFit="1" customWidth="1"/>
    <col min="44" max="44" width="20.7109375" bestFit="1" customWidth="1"/>
    <col min="45" max="45" width="41.28515625" bestFit="1" customWidth="1"/>
    <col min="46" max="46" width="21.28515625" bestFit="1" customWidth="1"/>
    <col min="47" max="47" width="25.28515625" bestFit="1" customWidth="1"/>
    <col min="48" max="48" width="41.5703125" bestFit="1" customWidth="1"/>
    <col min="49" max="49" width="10.5703125" bestFit="1" customWidth="1"/>
    <col min="50" max="50" width="34.140625" bestFit="1" customWidth="1"/>
    <col min="51" max="51" width="30.7109375" bestFit="1" customWidth="1"/>
    <col min="52" max="52" width="29.7109375" bestFit="1" customWidth="1"/>
    <col min="53" max="53" width="31.42578125" bestFit="1" customWidth="1"/>
    <col min="54" max="54" width="34.7109375" bestFit="1" customWidth="1"/>
    <col min="55" max="55" width="34.140625" bestFit="1" customWidth="1"/>
    <col min="56" max="56" width="31.28515625" bestFit="1" customWidth="1"/>
    <col min="57" max="57" width="37.140625" bestFit="1" customWidth="1"/>
    <col min="58" max="58" width="26.7109375" customWidth="1"/>
  </cols>
  <sheetData>
    <row r="1" spans="1:58" ht="15.75" thickBot="1" x14ac:dyDescent="0.3"/>
    <row r="2" spans="1:58" ht="46.5" customHeight="1" x14ac:dyDescent="0.7">
      <c r="A2" s="22" t="s">
        <v>9</v>
      </c>
      <c r="C2" s="21">
        <v>2026</v>
      </c>
      <c r="D2" s="30" t="s">
        <v>41</v>
      </c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2"/>
      <c r="AZ2" s="18"/>
    </row>
    <row r="3" spans="1:58" ht="15" customHeight="1" x14ac:dyDescent="0.25">
      <c r="D3" s="33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5"/>
      <c r="AZ3" s="18"/>
    </row>
    <row r="4" spans="1:58" ht="15" customHeight="1" x14ac:dyDescent="0.25">
      <c r="D4" s="33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5"/>
      <c r="AZ4" s="18"/>
    </row>
    <row r="5" spans="1:58" ht="15.75" customHeight="1" thickBot="1" x14ac:dyDescent="0.3">
      <c r="D5" s="36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8"/>
      <c r="AZ5" s="18"/>
    </row>
    <row r="7" spans="1:58" ht="15" customHeight="1" x14ac:dyDescent="0.25">
      <c r="D7" s="39" t="s">
        <v>15</v>
      </c>
      <c r="E7" s="40" t="s">
        <v>14</v>
      </c>
      <c r="F7" s="45" t="s">
        <v>53</v>
      </c>
      <c r="G7" s="39" t="s">
        <v>40</v>
      </c>
      <c r="H7" s="41" t="s">
        <v>47</v>
      </c>
      <c r="I7" s="29" t="str">
        <f t="shared" ref="I7:AM7" si="0">TEXT(I9,"ddd")</f>
        <v>Tue</v>
      </c>
      <c r="J7" s="29" t="str">
        <f t="shared" si="0"/>
        <v>Wed</v>
      </c>
      <c r="K7" s="29" t="str">
        <f t="shared" si="0"/>
        <v>Thu</v>
      </c>
      <c r="L7" s="29" t="str">
        <f t="shared" si="0"/>
        <v>Fri</v>
      </c>
      <c r="M7" s="29" t="str">
        <f t="shared" si="0"/>
        <v>Sat</v>
      </c>
      <c r="N7" s="29" t="str">
        <f t="shared" si="0"/>
        <v>Sun</v>
      </c>
      <c r="O7" s="29" t="str">
        <f t="shared" si="0"/>
        <v>Mon</v>
      </c>
      <c r="P7" s="29" t="str">
        <f t="shared" si="0"/>
        <v>Tue</v>
      </c>
      <c r="Q7" s="29" t="str">
        <f t="shared" si="0"/>
        <v>Wed</v>
      </c>
      <c r="R7" s="29" t="str">
        <f t="shared" si="0"/>
        <v>Thu</v>
      </c>
      <c r="S7" s="29" t="str">
        <f t="shared" si="0"/>
        <v>Fri</v>
      </c>
      <c r="T7" s="29" t="str">
        <f t="shared" si="0"/>
        <v>Sat</v>
      </c>
      <c r="U7" s="29" t="str">
        <f t="shared" si="0"/>
        <v>Sun</v>
      </c>
      <c r="V7" s="29" t="str">
        <f t="shared" si="0"/>
        <v>Mon</v>
      </c>
      <c r="W7" s="29" t="str">
        <f t="shared" si="0"/>
        <v>Tue</v>
      </c>
      <c r="X7" s="29" t="str">
        <f t="shared" si="0"/>
        <v>Wed</v>
      </c>
      <c r="Y7" s="29" t="str">
        <f t="shared" si="0"/>
        <v>Thu</v>
      </c>
      <c r="Z7" s="29" t="str">
        <f t="shared" si="0"/>
        <v>Fri</v>
      </c>
      <c r="AA7" s="29" t="str">
        <f t="shared" si="0"/>
        <v>Sat</v>
      </c>
      <c r="AB7" s="29" t="str">
        <f t="shared" si="0"/>
        <v>Sun</v>
      </c>
      <c r="AC7" s="29" t="str">
        <f t="shared" si="0"/>
        <v>Mon</v>
      </c>
      <c r="AD7" s="29" t="str">
        <f t="shared" si="0"/>
        <v>Tue</v>
      </c>
      <c r="AE7" s="29" t="str">
        <f t="shared" si="0"/>
        <v>Wed</v>
      </c>
      <c r="AF7" s="29" t="str">
        <f t="shared" si="0"/>
        <v>Thu</v>
      </c>
      <c r="AG7" s="29" t="str">
        <f t="shared" si="0"/>
        <v>Fri</v>
      </c>
      <c r="AH7" s="29" t="str">
        <f t="shared" si="0"/>
        <v>Sat</v>
      </c>
      <c r="AI7" s="29" t="str">
        <f t="shared" si="0"/>
        <v>Sun</v>
      </c>
      <c r="AJ7" s="29" t="str">
        <f t="shared" si="0"/>
        <v>Mon</v>
      </c>
      <c r="AK7" s="29" t="str">
        <f t="shared" si="0"/>
        <v>Tue</v>
      </c>
      <c r="AL7" s="29" t="str">
        <f t="shared" si="0"/>
        <v>Wed</v>
      </c>
      <c r="AM7" s="29" t="str">
        <f t="shared" si="0"/>
        <v>EOM</v>
      </c>
      <c r="AN7" s="43" t="str">
        <f>_xlfn.XLOOKUP('Calendar '!AN$9,Settings!$I6:$I17,Settings!$H6:$H17)</f>
        <v>Present</v>
      </c>
      <c r="AO7" s="43" t="str">
        <f>_xlfn.XLOOKUP('Calendar '!AO$9,Settings!$I6:$I17,Settings!$H6:$H17)</f>
        <v>Earned Leave</v>
      </c>
      <c r="AP7" s="43" t="str">
        <f>_xlfn.XLOOKUP('Calendar '!AP$9,Settings!$I6:$I17,Settings!$H6:$H17)</f>
        <v>Sick Leave</v>
      </c>
      <c r="AQ7" s="43" t="str">
        <f>_xlfn.XLOOKUP('Calendar '!AQ$9,Settings!$I6:$I17,Settings!$H6:$H17)</f>
        <v>Maternity or Paternity</v>
      </c>
      <c r="AR7" s="43" t="str">
        <f>_xlfn.XLOOKUP('Calendar '!AR$9,Settings!$I6:$I17,Settings!$H6:$H17)</f>
        <v>Half Day</v>
      </c>
      <c r="AS7" s="43" t="str">
        <f>_xlfn.XLOOKUP('Calendar '!AS$9,Settings!$I6:$I17,Settings!$H6:$H17)</f>
        <v>Work From Home</v>
      </c>
      <c r="AT7" s="43" t="str">
        <f>_xlfn.XLOOKUP('Calendar '!AT$9,Settings!$I6:$I17,Settings!$H6:$H17)</f>
        <v>Holidays</v>
      </c>
      <c r="AU7" s="43" t="str">
        <f>_xlfn.XLOOKUP('Calendar '!AU$9,Settings!$I6:$I17,Settings!$H6:$H17)</f>
        <v>Week Offs</v>
      </c>
      <c r="AV7" s="43" t="str">
        <f>_xlfn.XLOOKUP('Calendar '!AV$9,Settings!$I6:$I17,Settings!$H6:$H17)</f>
        <v>Absent / No Show</v>
      </c>
      <c r="AW7" s="43" t="str">
        <f>_xlfn.XLOOKUP('Calendar '!AW$9,Settings!$I6:$I17,Settings!$H6:$H17)</f>
        <v>Left</v>
      </c>
      <c r="AX7" s="43" t="str">
        <f>_xlfn.XLOOKUP('Calendar '!AX$9,Settings!$I6:$I17,Settings!$H6:$H17)</f>
        <v>Casual Leaves</v>
      </c>
      <c r="AY7" s="43" t="str">
        <f>_xlfn.XLOOKUP('Calendar '!AY$9,Settings!$I6:$I17,Settings!$H6:$H17)</f>
        <v>Short Leaves</v>
      </c>
      <c r="AZ7" s="44" t="s">
        <v>46</v>
      </c>
      <c r="BA7" s="48" t="s">
        <v>58</v>
      </c>
      <c r="BB7" s="44" t="s">
        <v>42</v>
      </c>
      <c r="BC7" s="44" t="s">
        <v>43</v>
      </c>
      <c r="BD7" s="44" t="s">
        <v>49</v>
      </c>
      <c r="BE7" s="44" t="s">
        <v>52</v>
      </c>
      <c r="BF7" s="44" t="s">
        <v>50</v>
      </c>
    </row>
    <row r="8" spans="1:58" ht="28.5" customHeight="1" x14ac:dyDescent="0.25">
      <c r="D8" s="39"/>
      <c r="E8" s="40"/>
      <c r="F8" s="46"/>
      <c r="G8" s="39"/>
      <c r="H8" s="42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4"/>
      <c r="BA8" s="48"/>
      <c r="BB8" s="44"/>
      <c r="BC8" s="44"/>
      <c r="BD8" s="44"/>
      <c r="BE8" s="44"/>
      <c r="BF8" s="44"/>
    </row>
    <row r="9" spans="1:58" ht="31.5" customHeight="1" x14ac:dyDescent="0.55000000000000004">
      <c r="D9" s="39"/>
      <c r="E9" s="40"/>
      <c r="F9" s="47"/>
      <c r="G9" s="39"/>
      <c r="H9" s="42"/>
      <c r="I9" s="13">
        <f>DATEVALUE("1"&amp;$A$2&amp;$C$2)</f>
        <v>46266</v>
      </c>
      <c r="J9" s="13">
        <f>IF(I$9&lt;EOMONTH($I$9,0),I$9+1,"EOM")</f>
        <v>46267</v>
      </c>
      <c r="K9" s="13">
        <f>IF(J$9&lt;EOMONTH($I$9,0),J$9+1,"EOM")</f>
        <v>46268</v>
      </c>
      <c r="L9" s="13">
        <f t="shared" ref="L9:AL9" si="1">IF(K$9&lt;EOMONTH($I$9,0),K$9+1,"EOM")</f>
        <v>46269</v>
      </c>
      <c r="M9" s="13">
        <f t="shared" si="1"/>
        <v>46270</v>
      </c>
      <c r="N9" s="13">
        <f t="shared" si="1"/>
        <v>46271</v>
      </c>
      <c r="O9" s="13">
        <f t="shared" si="1"/>
        <v>46272</v>
      </c>
      <c r="P9" s="13">
        <f t="shared" si="1"/>
        <v>46273</v>
      </c>
      <c r="Q9" s="13">
        <f t="shared" si="1"/>
        <v>46274</v>
      </c>
      <c r="R9" s="13">
        <f t="shared" si="1"/>
        <v>46275</v>
      </c>
      <c r="S9" s="13">
        <f t="shared" si="1"/>
        <v>46276</v>
      </c>
      <c r="T9" s="13">
        <f t="shared" si="1"/>
        <v>46277</v>
      </c>
      <c r="U9" s="13">
        <f t="shared" si="1"/>
        <v>46278</v>
      </c>
      <c r="V9" s="13">
        <f t="shared" si="1"/>
        <v>46279</v>
      </c>
      <c r="W9" s="13">
        <f t="shared" si="1"/>
        <v>46280</v>
      </c>
      <c r="X9" s="13">
        <f t="shared" si="1"/>
        <v>46281</v>
      </c>
      <c r="Y9" s="13">
        <f t="shared" si="1"/>
        <v>46282</v>
      </c>
      <c r="Z9" s="13">
        <f>IF(Y$9&lt;EOMONTH($I$9,0),Y$9+1,"EOM")</f>
        <v>46283</v>
      </c>
      <c r="AA9" s="13">
        <f t="shared" si="1"/>
        <v>46284</v>
      </c>
      <c r="AB9" s="13">
        <f t="shared" si="1"/>
        <v>46285</v>
      </c>
      <c r="AC9" s="13">
        <f t="shared" si="1"/>
        <v>46286</v>
      </c>
      <c r="AD9" s="13">
        <f>IF(AC$9&lt;EOMONTH($I$9,0),AC$9+1,"EOM")</f>
        <v>46287</v>
      </c>
      <c r="AE9" s="13">
        <f t="shared" si="1"/>
        <v>46288</v>
      </c>
      <c r="AF9" s="13">
        <f t="shared" si="1"/>
        <v>46289</v>
      </c>
      <c r="AG9" s="13">
        <f t="shared" si="1"/>
        <v>46290</v>
      </c>
      <c r="AH9" s="13">
        <f t="shared" si="1"/>
        <v>46291</v>
      </c>
      <c r="AI9" s="13">
        <f t="shared" si="1"/>
        <v>46292</v>
      </c>
      <c r="AJ9" s="13">
        <f t="shared" si="1"/>
        <v>46293</v>
      </c>
      <c r="AK9" s="13">
        <f t="shared" si="1"/>
        <v>46294</v>
      </c>
      <c r="AL9" s="13">
        <f t="shared" si="1"/>
        <v>46295</v>
      </c>
      <c r="AM9" s="13" t="str">
        <f>IF(AL$9&lt;EOMONTH($I$9,0),AL$9+1,"EOM")</f>
        <v>EOM</v>
      </c>
      <c r="AN9" s="25" t="str">
        <f>Settings!I6</f>
        <v>P</v>
      </c>
      <c r="AO9" s="26" t="str">
        <f>Settings!I7</f>
        <v>EL</v>
      </c>
      <c r="AP9" s="27" t="str">
        <f>Settings!I8</f>
        <v>SL</v>
      </c>
      <c r="AQ9" s="27" t="str">
        <f>Table24[[#This Row],[Code]]</f>
        <v>MPL</v>
      </c>
      <c r="AR9" s="27" t="str">
        <f>Settings!$I10</f>
        <v>HD</v>
      </c>
      <c r="AS9" s="27" t="str">
        <f>Settings!$I11</f>
        <v>WFH</v>
      </c>
      <c r="AT9" s="27" t="str">
        <f>Settings!$I12</f>
        <v>H</v>
      </c>
      <c r="AU9" s="27" t="str">
        <f>Settings!$I13</f>
        <v>WO</v>
      </c>
      <c r="AV9" s="27" t="str">
        <f>Settings!$I14</f>
        <v>A</v>
      </c>
      <c r="AW9" s="27" t="str">
        <f>Settings!$I15</f>
        <v>LT</v>
      </c>
      <c r="AX9" s="27" t="str">
        <f>Settings!$I16</f>
        <v>CL</v>
      </c>
      <c r="AY9" s="27" t="str">
        <f>Settings!$I17</f>
        <v>SHL</v>
      </c>
      <c r="AZ9" s="44"/>
      <c r="BA9" s="48"/>
      <c r="BB9" s="44"/>
      <c r="BC9" s="44"/>
      <c r="BD9" s="44"/>
      <c r="BE9" s="44"/>
      <c r="BF9" s="44"/>
    </row>
    <row r="10" spans="1:58" ht="36" x14ac:dyDescent="0.55000000000000004">
      <c r="D10" s="12" t="str">
        <f>Settings!D4</f>
        <v>EMP001</v>
      </c>
      <c r="E10" s="12" t="str">
        <f>IFERROR(VLOOKUP(D10,Settings!D4:F20,2,FALSE),"")</f>
        <v>Aarav Sharma</v>
      </c>
      <c r="F10" s="12" t="s">
        <v>54</v>
      </c>
      <c r="G10" s="12" t="str">
        <f>IFERROR(VLOOKUP(D10,Settings!D4:F20,3,FALSE),"")</f>
        <v>Software Engineer</v>
      </c>
      <c r="H10" s="12" t="str">
        <f>IFERROR(VLOOKUP(E10,Settings!E4:G20,3,FALSE),"")</f>
        <v>Engineering</v>
      </c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23">
        <f>COUNTIF($I10:$AM10,"=P")</f>
        <v>0</v>
      </c>
      <c r="AO10" s="23">
        <f>COUNTIF($I10:$AM10,"=EL")</f>
        <v>0</v>
      </c>
      <c r="AP10" s="23">
        <f>COUNTIF($I10:$AM10,"=SL")</f>
        <v>0</v>
      </c>
      <c r="AQ10" s="23">
        <f>COUNTIF($I10:$AM10,"=MPL")</f>
        <v>0</v>
      </c>
      <c r="AR10" s="23">
        <f>COUNTIF($I10:$AM10,"=HD")</f>
        <v>0</v>
      </c>
      <c r="AS10" s="23">
        <f>COUNTIF($I10:$AM10,"=WFH")</f>
        <v>0</v>
      </c>
      <c r="AT10" s="23">
        <f>COUNTIF($I10:$AM10,"=H")</f>
        <v>0</v>
      </c>
      <c r="AU10" s="23">
        <f>COUNTIF($I10:$AM10,"=WO")</f>
        <v>0</v>
      </c>
      <c r="AV10" s="23">
        <f>COUNTIF($I10:$AM10,"=A")</f>
        <v>0</v>
      </c>
      <c r="AW10" s="23">
        <f>COUNTIF($I10:$AM10,"=LT")</f>
        <v>0</v>
      </c>
      <c r="AX10" s="23">
        <f>COUNTIF($I10:$AM10,"=CL")</f>
        <v>0</v>
      </c>
      <c r="AY10" s="23">
        <f>COUNTIF($I10:$AM10,"=SHL")</f>
        <v>0</v>
      </c>
      <c r="AZ10" s="23">
        <f>IF(E10&lt;&gt;"",SUM(AO10,AP10,AQ10,AX10,AY10),"")</f>
        <v>0</v>
      </c>
      <c r="BA10" s="23">
        <f t="shared" ref="BA10:BA24" si="2">IF(E10&lt;&gt;"",AN10+AO10+AP10+AQ10+0.05*AR10+AS10+AT10+AU10+AX10+AY10)</f>
        <v>0</v>
      </c>
      <c r="BB10" s="24">
        <v>0</v>
      </c>
      <c r="BC10" s="24">
        <f>IF(E$10&lt;&gt;"",ROUND(BB10/COUNTA($I$9:$AM$9)*$BA10,2),"")</f>
        <v>0</v>
      </c>
      <c r="BD10" s="24">
        <f t="shared" ref="BD10:BD28" si="3">BC10+BE10</f>
        <v>0</v>
      </c>
      <c r="BE10" s="24" cm="1">
        <f t="array" ref="BE10">SUMPRODUCT((TEXT($I$7:$AM$8,"dddd")="Sun")*($I10:$AM10="P")*(BB10/28))</f>
        <v>0</v>
      </c>
      <c r="BF10" s="23"/>
    </row>
    <row r="11" spans="1:58" ht="36" x14ac:dyDescent="0.55000000000000004">
      <c r="D11" s="12" t="str">
        <f>Settings!D5</f>
        <v>EMP002</v>
      </c>
      <c r="E11" s="12" t="str">
        <f>IFERROR(VLOOKUP(D11,Settings!D5:F21,2,FALSE),"")</f>
        <v>Priya Verma</v>
      </c>
      <c r="F11" s="12" t="s">
        <v>54</v>
      </c>
      <c r="G11" s="12" t="str">
        <f>IFERROR(VLOOKUP(D11,Settings!D5:F21,3,FALSE),"")</f>
        <v>Data Analyst</v>
      </c>
      <c r="H11" s="12" t="str">
        <f>IFERROR(VLOOKUP(E11,Settings!E5:G21,3,FALSE),"")</f>
        <v>Analytics</v>
      </c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23">
        <f t="shared" ref="AN11:AN28" si="4">COUNTIF($I11:$AM11,"=P")</f>
        <v>0</v>
      </c>
      <c r="AO11" s="23">
        <f t="shared" ref="AO11:AO28" si="5">COUNTIF($I11:$AM11,"=EL")</f>
        <v>0</v>
      </c>
      <c r="AP11" s="23">
        <f>COUNTIF($I11:$AM11,"=SL")</f>
        <v>0</v>
      </c>
      <c r="AQ11" s="23">
        <f t="shared" ref="AQ11:AQ28" si="6">COUNTIF($I11:$AM11,"=MPL")</f>
        <v>0</v>
      </c>
      <c r="AR11" s="23">
        <f t="shared" ref="AR11:AR28" si="7">COUNTIF($I11:$AM11,"=HD")</f>
        <v>0</v>
      </c>
      <c r="AS11" s="23">
        <f t="shared" ref="AS11:AS28" si="8">COUNTIF($I11:$AM11,"=WFH")</f>
        <v>0</v>
      </c>
      <c r="AT11" s="23">
        <f t="shared" ref="AT11:AT28" si="9">COUNTIF($I11:$AM11,"=H")</f>
        <v>0</v>
      </c>
      <c r="AU11" s="23">
        <f t="shared" ref="AU11:AU28" si="10">COUNTIF($I11:$AM11,"=WO")</f>
        <v>0</v>
      </c>
      <c r="AV11" s="23">
        <f t="shared" ref="AV11:AV28" si="11">COUNTIF($I11:$AM11,"=A")</f>
        <v>0</v>
      </c>
      <c r="AW11" s="23">
        <f t="shared" ref="AW11:AW28" si="12">COUNTIF($I11:$AM11,"=LT")</f>
        <v>0</v>
      </c>
      <c r="AX11" s="23">
        <f t="shared" ref="AX11:AX28" si="13">COUNTIF($I11:$AM11,"=CL")</f>
        <v>0</v>
      </c>
      <c r="AY11" s="23">
        <f t="shared" ref="AY11:AY28" si="14">COUNTIF($I11:$AM11,"=SHL")</f>
        <v>0</v>
      </c>
      <c r="AZ11" s="23">
        <f t="shared" ref="AZ11:AZ28" si="15">IF(E11&lt;&gt;"",SUM(AO11,AP11,AQ11,AX11,AY11),"")</f>
        <v>0</v>
      </c>
      <c r="BA11" s="23">
        <f t="shared" si="2"/>
        <v>0</v>
      </c>
      <c r="BB11" s="24">
        <v>0</v>
      </c>
      <c r="BC11" s="24">
        <f t="shared" ref="BC11:BC27" si="16">IF(E$10&lt;&gt;"",ROUND(BB11/COUNTA($I$9:$AM$9)*$BA11,2),"")</f>
        <v>0</v>
      </c>
      <c r="BD11" s="24">
        <f t="shared" si="3"/>
        <v>0</v>
      </c>
      <c r="BE11" s="24" cm="1">
        <f t="array" ref="BE11">SUMPRODUCT((TEXT($I$7:$AM$8,"dddd")="Sun")*($I11:$AM11="P")*(BB11/28))</f>
        <v>0</v>
      </c>
      <c r="BF11" s="23"/>
    </row>
    <row r="12" spans="1:58" ht="36" x14ac:dyDescent="0.55000000000000004">
      <c r="D12" s="12" t="str">
        <f>Settings!D6</f>
        <v>EMP003</v>
      </c>
      <c r="E12" s="12" t="str">
        <f>IFERROR(VLOOKUP(D12,Settings!D6:F22,2,FALSE),"")</f>
        <v>Rohan Gupta</v>
      </c>
      <c r="F12" s="12" t="s">
        <v>54</v>
      </c>
      <c r="G12" s="12" t="str">
        <f>IFERROR(VLOOKUP(D12,Settings!D6:F22,3,FALSE),"")</f>
        <v>Product Manager</v>
      </c>
      <c r="H12" s="12" t="str">
        <f>IFERROR(VLOOKUP(E12,Settings!E6:G22,3,FALSE),"")</f>
        <v>Product</v>
      </c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23">
        <f t="shared" si="4"/>
        <v>0</v>
      </c>
      <c r="AO12" s="23">
        <f t="shared" si="5"/>
        <v>0</v>
      </c>
      <c r="AP12" s="23">
        <f t="shared" ref="AP12:AP28" si="17">COUNTIF($I12:$AM12,"=SL")</f>
        <v>0</v>
      </c>
      <c r="AQ12" s="23">
        <f t="shared" si="6"/>
        <v>0</v>
      </c>
      <c r="AR12" s="23">
        <f t="shared" si="7"/>
        <v>0</v>
      </c>
      <c r="AS12" s="23">
        <f t="shared" si="8"/>
        <v>0</v>
      </c>
      <c r="AT12" s="23">
        <f t="shared" si="9"/>
        <v>0</v>
      </c>
      <c r="AU12" s="23">
        <f t="shared" si="10"/>
        <v>0</v>
      </c>
      <c r="AV12" s="23">
        <f t="shared" si="11"/>
        <v>0</v>
      </c>
      <c r="AW12" s="23">
        <f t="shared" si="12"/>
        <v>0</v>
      </c>
      <c r="AX12" s="23">
        <f t="shared" si="13"/>
        <v>0</v>
      </c>
      <c r="AY12" s="23">
        <f t="shared" si="14"/>
        <v>0</v>
      </c>
      <c r="AZ12" s="23">
        <f t="shared" si="15"/>
        <v>0</v>
      </c>
      <c r="BA12" s="23">
        <f t="shared" si="2"/>
        <v>0</v>
      </c>
      <c r="BB12" s="24">
        <v>0</v>
      </c>
      <c r="BC12" s="24">
        <f t="shared" si="16"/>
        <v>0</v>
      </c>
      <c r="BD12" s="24">
        <f t="shared" si="3"/>
        <v>0</v>
      </c>
      <c r="BE12" s="24" cm="1">
        <f t="array" ref="BE12">SUMPRODUCT((TEXT($I$7:$AM$8,"dddd")="Sun")*($I12:$AM12="P")*(BB12/28))</f>
        <v>0</v>
      </c>
      <c r="BF12" s="23"/>
    </row>
    <row r="13" spans="1:58" ht="36" x14ac:dyDescent="0.55000000000000004">
      <c r="D13" s="12" t="str">
        <f>Settings!D7</f>
        <v>EMP004</v>
      </c>
      <c r="E13" s="12" t="str">
        <f>IFERROR(VLOOKUP(D13,Settings!D7:F23,2,FALSE),"")</f>
        <v>Ananya Iyer</v>
      </c>
      <c r="F13" s="12" t="s">
        <v>54</v>
      </c>
      <c r="G13" s="12" t="str">
        <f>IFERROR(VLOOKUP(D13,Settings!D7:F23,3,FALSE),"")</f>
        <v>UX/UI Designer</v>
      </c>
      <c r="H13" s="12" t="str">
        <f>IFERROR(VLOOKUP(E13,Settings!E7:G23,3,FALSE),"")</f>
        <v>Design</v>
      </c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23">
        <f t="shared" si="4"/>
        <v>0</v>
      </c>
      <c r="AO13" s="23">
        <f t="shared" si="5"/>
        <v>0</v>
      </c>
      <c r="AP13" s="23">
        <f t="shared" si="17"/>
        <v>0</v>
      </c>
      <c r="AQ13" s="23">
        <f t="shared" si="6"/>
        <v>0</v>
      </c>
      <c r="AR13" s="23">
        <f t="shared" si="7"/>
        <v>0</v>
      </c>
      <c r="AS13" s="23">
        <f t="shared" si="8"/>
        <v>0</v>
      </c>
      <c r="AT13" s="23">
        <f t="shared" si="9"/>
        <v>0</v>
      </c>
      <c r="AU13" s="23">
        <f t="shared" si="10"/>
        <v>0</v>
      </c>
      <c r="AV13" s="23">
        <f t="shared" si="11"/>
        <v>0</v>
      </c>
      <c r="AW13" s="23">
        <f t="shared" si="12"/>
        <v>0</v>
      </c>
      <c r="AX13" s="23">
        <f t="shared" si="13"/>
        <v>0</v>
      </c>
      <c r="AY13" s="23">
        <f t="shared" si="14"/>
        <v>0</v>
      </c>
      <c r="AZ13" s="23">
        <f t="shared" si="15"/>
        <v>0</v>
      </c>
      <c r="BA13" s="23">
        <f t="shared" si="2"/>
        <v>0</v>
      </c>
      <c r="BB13" s="24">
        <v>0</v>
      </c>
      <c r="BC13" s="24">
        <f t="shared" si="16"/>
        <v>0</v>
      </c>
      <c r="BD13" s="24">
        <f t="shared" si="3"/>
        <v>0</v>
      </c>
      <c r="BE13" s="24" cm="1">
        <f t="array" ref="BE13">SUMPRODUCT((TEXT($I$7:$AM$8,"dddd")="Sun")*($I13:$AM13="P")*(BB13/28))</f>
        <v>0</v>
      </c>
      <c r="BF13" s="23"/>
    </row>
    <row r="14" spans="1:58" ht="36" x14ac:dyDescent="0.55000000000000004">
      <c r="D14" s="12" t="str">
        <f>Settings!D8</f>
        <v>EMP005</v>
      </c>
      <c r="E14" s="12" t="str">
        <f>IFERROR(VLOOKUP(D14,Settings!D8:F24,2,FALSE),"")</f>
        <v>Vikram Malhotra</v>
      </c>
      <c r="F14" s="12" t="s">
        <v>54</v>
      </c>
      <c r="G14" s="12" t="str">
        <f>IFERROR(VLOOKUP(D14,Settings!D8:F24,3,FALSE),"")</f>
        <v>Senior Developer</v>
      </c>
      <c r="H14" s="12" t="str">
        <f>IFERROR(VLOOKUP(E14,Settings!E8:G24,3,FALSE),"")</f>
        <v>Engineering</v>
      </c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23">
        <f t="shared" si="4"/>
        <v>0</v>
      </c>
      <c r="AO14" s="23">
        <f t="shared" si="5"/>
        <v>0</v>
      </c>
      <c r="AP14" s="23">
        <f t="shared" si="17"/>
        <v>0</v>
      </c>
      <c r="AQ14" s="23">
        <f t="shared" si="6"/>
        <v>0</v>
      </c>
      <c r="AR14" s="23">
        <f t="shared" si="7"/>
        <v>0</v>
      </c>
      <c r="AS14" s="23">
        <f t="shared" si="8"/>
        <v>0</v>
      </c>
      <c r="AT14" s="23">
        <f t="shared" si="9"/>
        <v>0</v>
      </c>
      <c r="AU14" s="23">
        <f t="shared" si="10"/>
        <v>0</v>
      </c>
      <c r="AV14" s="23">
        <f t="shared" si="11"/>
        <v>0</v>
      </c>
      <c r="AW14" s="23">
        <f t="shared" si="12"/>
        <v>0</v>
      </c>
      <c r="AX14" s="23">
        <f t="shared" si="13"/>
        <v>0</v>
      </c>
      <c r="AY14" s="23">
        <f t="shared" si="14"/>
        <v>0</v>
      </c>
      <c r="AZ14" s="23">
        <f t="shared" si="15"/>
        <v>0</v>
      </c>
      <c r="BA14" s="23">
        <f t="shared" si="2"/>
        <v>0</v>
      </c>
      <c r="BB14" s="24">
        <v>0</v>
      </c>
      <c r="BC14" s="24">
        <f t="shared" si="16"/>
        <v>0</v>
      </c>
      <c r="BD14" s="24">
        <f t="shared" si="3"/>
        <v>0</v>
      </c>
      <c r="BE14" s="24" cm="1">
        <f t="array" ref="BE14">SUMPRODUCT((TEXT($I$7:$AM$8,"dddd")="Sun")*($I14:$AM14="P")*(BB14/28))</f>
        <v>0</v>
      </c>
      <c r="BF14" s="23"/>
    </row>
    <row r="15" spans="1:58" ht="36" x14ac:dyDescent="0.55000000000000004">
      <c r="D15" s="12" t="str">
        <f>Settings!D9</f>
        <v>EMP006</v>
      </c>
      <c r="E15" s="12" t="str">
        <f>IFERROR(VLOOKUP(D15,Settings!D9:F25,2,FALSE),"")</f>
        <v>Neha Singh</v>
      </c>
      <c r="F15" s="12" t="s">
        <v>54</v>
      </c>
      <c r="G15" s="12" t="str">
        <f>IFERROR(VLOOKUP(D15,Settings!D9:F25,3,FALSE),"")</f>
        <v>HR Generalist</v>
      </c>
      <c r="H15" s="12" t="str">
        <f>IFERROR(VLOOKUP(E15,Settings!E9:G25,3,FALSE),"")</f>
        <v>Human Resources</v>
      </c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23">
        <f t="shared" si="4"/>
        <v>0</v>
      </c>
      <c r="AO15" s="23">
        <f t="shared" si="5"/>
        <v>0</v>
      </c>
      <c r="AP15" s="23">
        <f t="shared" si="17"/>
        <v>0</v>
      </c>
      <c r="AQ15" s="23">
        <f t="shared" si="6"/>
        <v>0</v>
      </c>
      <c r="AR15" s="23">
        <f t="shared" si="7"/>
        <v>0</v>
      </c>
      <c r="AS15" s="23">
        <f t="shared" si="8"/>
        <v>0</v>
      </c>
      <c r="AT15" s="23">
        <f t="shared" si="9"/>
        <v>0</v>
      </c>
      <c r="AU15" s="23">
        <f t="shared" si="10"/>
        <v>0</v>
      </c>
      <c r="AV15" s="23">
        <f t="shared" si="11"/>
        <v>0</v>
      </c>
      <c r="AW15" s="23">
        <f t="shared" si="12"/>
        <v>0</v>
      </c>
      <c r="AX15" s="23">
        <f t="shared" si="13"/>
        <v>0</v>
      </c>
      <c r="AY15" s="23">
        <f t="shared" si="14"/>
        <v>0</v>
      </c>
      <c r="AZ15" s="23">
        <f t="shared" si="15"/>
        <v>0</v>
      </c>
      <c r="BA15" s="23">
        <f t="shared" si="2"/>
        <v>0</v>
      </c>
      <c r="BB15" s="24">
        <v>0</v>
      </c>
      <c r="BC15" s="24">
        <f t="shared" si="16"/>
        <v>0</v>
      </c>
      <c r="BD15" s="24">
        <f t="shared" si="3"/>
        <v>0</v>
      </c>
      <c r="BE15" s="24" cm="1">
        <f t="array" ref="BE15">SUMPRODUCT((TEXT($I$7:$AM$8,"dddd")="Sun")*($I15:$AM15="P")*(BB15/28))</f>
        <v>0</v>
      </c>
      <c r="BF15" s="23"/>
    </row>
    <row r="16" spans="1:58" ht="36" x14ac:dyDescent="0.55000000000000004">
      <c r="D16" s="12" t="str">
        <f>Settings!D10</f>
        <v>EMP007</v>
      </c>
      <c r="E16" s="12" t="str">
        <f>IFERROR(VLOOKUP(D16,Settings!D10:F26,2,FALSE),"")</f>
        <v>Amit Patel</v>
      </c>
      <c r="F16" s="12" t="s">
        <v>54</v>
      </c>
      <c r="G16" s="12" t="str">
        <f>IFERROR(VLOOKUP(D16,Settings!D10:F26,3,FALSE),"")</f>
        <v>Financial Analyst</v>
      </c>
      <c r="H16" s="12" t="str">
        <f>IFERROR(VLOOKUP(E16,Settings!E10:G26,3,FALSE),"")</f>
        <v>Finance</v>
      </c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23">
        <f t="shared" si="4"/>
        <v>0</v>
      </c>
      <c r="AO16" s="23">
        <f t="shared" si="5"/>
        <v>0</v>
      </c>
      <c r="AP16" s="23">
        <f t="shared" si="17"/>
        <v>0</v>
      </c>
      <c r="AQ16" s="23">
        <f t="shared" si="6"/>
        <v>0</v>
      </c>
      <c r="AR16" s="23">
        <f t="shared" si="7"/>
        <v>0</v>
      </c>
      <c r="AS16" s="23">
        <f t="shared" si="8"/>
        <v>0</v>
      </c>
      <c r="AT16" s="23">
        <f t="shared" si="9"/>
        <v>0</v>
      </c>
      <c r="AU16" s="23">
        <f t="shared" si="10"/>
        <v>0</v>
      </c>
      <c r="AV16" s="23">
        <f t="shared" si="11"/>
        <v>0</v>
      </c>
      <c r="AW16" s="23">
        <f t="shared" si="12"/>
        <v>0</v>
      </c>
      <c r="AX16" s="23">
        <f t="shared" si="13"/>
        <v>0</v>
      </c>
      <c r="AY16" s="23">
        <f t="shared" si="14"/>
        <v>0</v>
      </c>
      <c r="AZ16" s="23">
        <f t="shared" si="15"/>
        <v>0</v>
      </c>
      <c r="BA16" s="23">
        <f t="shared" si="2"/>
        <v>0</v>
      </c>
      <c r="BB16" s="24">
        <v>0</v>
      </c>
      <c r="BC16" s="24">
        <f t="shared" si="16"/>
        <v>0</v>
      </c>
      <c r="BD16" s="24">
        <f t="shared" si="3"/>
        <v>0</v>
      </c>
      <c r="BE16" s="24" cm="1">
        <f t="array" ref="BE16">SUMPRODUCT((TEXT($I$7:$AM$8,"dddd")="Sun")*($I16:$AM16="P")*(BB16/28))</f>
        <v>0</v>
      </c>
      <c r="BF16" s="23"/>
    </row>
    <row r="17" spans="4:58" ht="36" x14ac:dyDescent="0.55000000000000004">
      <c r="D17" s="12" t="str">
        <f>Settings!D11</f>
        <v>EMP008</v>
      </c>
      <c r="E17" s="12" t="str">
        <f>IFERROR(VLOOKUP(D17,Settings!D11:F27,2,FALSE),"")</f>
        <v>Sneha Joshi</v>
      </c>
      <c r="F17" s="12" t="s">
        <v>54</v>
      </c>
      <c r="G17" s="12" t="str">
        <f>IFERROR(VLOOKUP(D17,Settings!D11:F27,3,FALSE),"")</f>
        <v>Marketing Specialist</v>
      </c>
      <c r="H17" s="12" t="str">
        <f>IFERROR(VLOOKUP(E17,Settings!E11:G27,3,FALSE),"")</f>
        <v>Marketing</v>
      </c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23">
        <f t="shared" si="4"/>
        <v>0</v>
      </c>
      <c r="AO17" s="23">
        <f t="shared" si="5"/>
        <v>0</v>
      </c>
      <c r="AP17" s="23">
        <f t="shared" si="17"/>
        <v>0</v>
      </c>
      <c r="AQ17" s="23">
        <f t="shared" si="6"/>
        <v>0</v>
      </c>
      <c r="AR17" s="23">
        <f t="shared" si="7"/>
        <v>0</v>
      </c>
      <c r="AS17" s="23">
        <f t="shared" si="8"/>
        <v>0</v>
      </c>
      <c r="AT17" s="23">
        <f t="shared" si="9"/>
        <v>0</v>
      </c>
      <c r="AU17" s="23">
        <f t="shared" si="10"/>
        <v>0</v>
      </c>
      <c r="AV17" s="23">
        <f t="shared" si="11"/>
        <v>0</v>
      </c>
      <c r="AW17" s="23">
        <f t="shared" si="12"/>
        <v>0</v>
      </c>
      <c r="AX17" s="23">
        <f t="shared" si="13"/>
        <v>0</v>
      </c>
      <c r="AY17" s="23">
        <f t="shared" si="14"/>
        <v>0</v>
      </c>
      <c r="AZ17" s="23">
        <f t="shared" si="15"/>
        <v>0</v>
      </c>
      <c r="BA17" s="23">
        <f>IF(E17&lt;&gt;"",AN17+AO17+AP17+AQ17+0.05*AR17+AS17+AT17+AU17+AX17+AY17)</f>
        <v>0</v>
      </c>
      <c r="BB17" s="24">
        <v>0</v>
      </c>
      <c r="BC17" s="24">
        <f t="shared" si="16"/>
        <v>0</v>
      </c>
      <c r="BD17" s="24">
        <f t="shared" si="3"/>
        <v>0</v>
      </c>
      <c r="BE17" s="24" cm="1">
        <f t="array" ref="BE17">SUMPRODUCT((TEXT($I$7:$AM$8,"dddd")="Sun")*($I17:$AM17="P")*(BB17/28))</f>
        <v>0</v>
      </c>
      <c r="BF17" s="23"/>
    </row>
    <row r="18" spans="4:58" ht="36" x14ac:dyDescent="0.55000000000000004">
      <c r="D18" s="12" t="str">
        <f>Settings!D12</f>
        <v>EMP009</v>
      </c>
      <c r="E18" s="12" t="str">
        <f>IFERROR(VLOOKUP(D18,Settings!D12:F28,2,FALSE),"")</f>
        <v>Rahul Mehta</v>
      </c>
      <c r="F18" s="12" t="s">
        <v>54</v>
      </c>
      <c r="G18" s="12" t="str">
        <f>IFERROR(VLOOKUP(D18,Settings!D12:F28,3,FALSE),"")</f>
        <v>DevOps Engineer</v>
      </c>
      <c r="H18" s="12" t="str">
        <f>IFERROR(VLOOKUP(E18,Settings!E12:G28,3,FALSE),"")</f>
        <v>Engineering</v>
      </c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23">
        <f t="shared" si="4"/>
        <v>0</v>
      </c>
      <c r="AO18" s="23">
        <f t="shared" si="5"/>
        <v>0</v>
      </c>
      <c r="AP18" s="23">
        <f t="shared" si="17"/>
        <v>0</v>
      </c>
      <c r="AQ18" s="23">
        <f t="shared" si="6"/>
        <v>0</v>
      </c>
      <c r="AR18" s="23">
        <f t="shared" si="7"/>
        <v>0</v>
      </c>
      <c r="AS18" s="23">
        <f t="shared" si="8"/>
        <v>0</v>
      </c>
      <c r="AT18" s="23">
        <f t="shared" si="9"/>
        <v>0</v>
      </c>
      <c r="AU18" s="23">
        <f t="shared" si="10"/>
        <v>0</v>
      </c>
      <c r="AV18" s="23">
        <f t="shared" si="11"/>
        <v>0</v>
      </c>
      <c r="AW18" s="23">
        <f t="shared" si="12"/>
        <v>0</v>
      </c>
      <c r="AX18" s="23">
        <f t="shared" si="13"/>
        <v>0</v>
      </c>
      <c r="AY18" s="23">
        <f t="shared" si="14"/>
        <v>0</v>
      </c>
      <c r="AZ18" s="23">
        <f t="shared" si="15"/>
        <v>0</v>
      </c>
      <c r="BA18" s="23">
        <f t="shared" si="2"/>
        <v>0</v>
      </c>
      <c r="BB18" s="24">
        <v>0</v>
      </c>
      <c r="BC18" s="24">
        <f t="shared" si="16"/>
        <v>0</v>
      </c>
      <c r="BD18" s="24">
        <f t="shared" si="3"/>
        <v>0</v>
      </c>
      <c r="BE18" s="24" cm="1">
        <f t="array" ref="BE18">SUMPRODUCT((TEXT($I$7:$AM$8,"dddd")="Sun")*($I18:$AM18="P")*(BB18/28))</f>
        <v>0</v>
      </c>
      <c r="BF18" s="23"/>
    </row>
    <row r="19" spans="4:58" ht="36" x14ac:dyDescent="0.55000000000000004">
      <c r="D19" s="12" t="str">
        <f>Settings!D13</f>
        <v>EMP010</v>
      </c>
      <c r="E19" s="12" t="str">
        <f>IFERROR(VLOOKUP(D19,Settings!D13:F29,2,FALSE),"")</f>
        <v>Pooja Nair</v>
      </c>
      <c r="F19" s="12" t="s">
        <v>54</v>
      </c>
      <c r="G19" s="12" t="str">
        <f>IFERROR(VLOOKUP(D19,Settings!D13:F29,3,FALSE),"")</f>
        <v>QA Automation Engineer</v>
      </c>
      <c r="H19" s="12" t="str">
        <f>IFERROR(VLOOKUP(E19,Settings!E13:G29,3,FALSE),"")</f>
        <v>Quality Assurance</v>
      </c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23">
        <f t="shared" si="4"/>
        <v>0</v>
      </c>
      <c r="AO19" s="23">
        <f t="shared" si="5"/>
        <v>0</v>
      </c>
      <c r="AP19" s="23">
        <f t="shared" si="17"/>
        <v>0</v>
      </c>
      <c r="AQ19" s="23">
        <f t="shared" si="6"/>
        <v>0</v>
      </c>
      <c r="AR19" s="23">
        <f t="shared" si="7"/>
        <v>0</v>
      </c>
      <c r="AS19" s="23">
        <f t="shared" si="8"/>
        <v>0</v>
      </c>
      <c r="AT19" s="23">
        <f t="shared" si="9"/>
        <v>0</v>
      </c>
      <c r="AU19" s="23">
        <f t="shared" si="10"/>
        <v>0</v>
      </c>
      <c r="AV19" s="23">
        <f t="shared" si="11"/>
        <v>0</v>
      </c>
      <c r="AW19" s="23">
        <f t="shared" si="12"/>
        <v>0</v>
      </c>
      <c r="AX19" s="23">
        <f t="shared" si="13"/>
        <v>0</v>
      </c>
      <c r="AY19" s="23">
        <f t="shared" si="14"/>
        <v>0</v>
      </c>
      <c r="AZ19" s="23">
        <f t="shared" si="15"/>
        <v>0</v>
      </c>
      <c r="BA19" s="23">
        <f t="shared" si="2"/>
        <v>0</v>
      </c>
      <c r="BB19" s="24">
        <v>0</v>
      </c>
      <c r="BC19" s="24">
        <f t="shared" si="16"/>
        <v>0</v>
      </c>
      <c r="BD19" s="24">
        <f t="shared" si="3"/>
        <v>0</v>
      </c>
      <c r="BE19" s="24" cm="1">
        <f t="array" ref="BE19">SUMPRODUCT((TEXT($I$7:$AM$8,"dddd")="Sun")*($I19:$AM19="P")*(BB19/28))</f>
        <v>0</v>
      </c>
      <c r="BF19" s="23"/>
    </row>
    <row r="20" spans="4:58" ht="36" x14ac:dyDescent="0.55000000000000004">
      <c r="D20" s="12" t="str">
        <f>Settings!D14</f>
        <v>EMP011</v>
      </c>
      <c r="E20" s="12" t="str">
        <f>IFERROR(VLOOKUP(D20,Settings!D14:F30,2,FALSE),"")</f>
        <v>Karan Kapoor</v>
      </c>
      <c r="F20" s="12" t="s">
        <v>54</v>
      </c>
      <c r="G20" s="12" t="str">
        <f>IFERROR(VLOOKUP(D20,Settings!D14:F30,3,FALSE),"")</f>
        <v>Content Strategist</v>
      </c>
      <c r="H20" s="12" t="str">
        <f>IFERROR(VLOOKUP(E20,Settings!E14:G30,3,FALSE),"")</f>
        <v>Marketing</v>
      </c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23">
        <f t="shared" si="4"/>
        <v>0</v>
      </c>
      <c r="AO20" s="23">
        <f t="shared" si="5"/>
        <v>0</v>
      </c>
      <c r="AP20" s="23">
        <f t="shared" si="17"/>
        <v>0</v>
      </c>
      <c r="AQ20" s="23">
        <f t="shared" si="6"/>
        <v>0</v>
      </c>
      <c r="AR20" s="23">
        <f t="shared" si="7"/>
        <v>0</v>
      </c>
      <c r="AS20" s="23">
        <f t="shared" si="8"/>
        <v>0</v>
      </c>
      <c r="AT20" s="23">
        <f t="shared" si="9"/>
        <v>0</v>
      </c>
      <c r="AU20" s="23">
        <f t="shared" si="10"/>
        <v>0</v>
      </c>
      <c r="AV20" s="23">
        <f t="shared" si="11"/>
        <v>0</v>
      </c>
      <c r="AW20" s="23">
        <f t="shared" si="12"/>
        <v>0</v>
      </c>
      <c r="AX20" s="23">
        <f t="shared" si="13"/>
        <v>0</v>
      </c>
      <c r="AY20" s="23">
        <f t="shared" si="14"/>
        <v>0</v>
      </c>
      <c r="AZ20" s="23">
        <f t="shared" si="15"/>
        <v>0</v>
      </c>
      <c r="BA20" s="23">
        <f t="shared" si="2"/>
        <v>0</v>
      </c>
      <c r="BB20" s="24">
        <v>0</v>
      </c>
      <c r="BC20" s="24">
        <f t="shared" si="16"/>
        <v>0</v>
      </c>
      <c r="BD20" s="24">
        <f t="shared" si="3"/>
        <v>0</v>
      </c>
      <c r="BE20" s="24" cm="1">
        <f t="array" ref="BE20">SUMPRODUCT((TEXT($I$7:$AM$8,"dddd")="Sun")*($I20:$AM20="P")*(BB20/28))</f>
        <v>0</v>
      </c>
      <c r="BF20" s="23"/>
    </row>
    <row r="21" spans="4:58" ht="36" x14ac:dyDescent="0.55000000000000004">
      <c r="D21" s="12" t="str">
        <f>Settings!D15</f>
        <v>EMP012</v>
      </c>
      <c r="E21" s="12" t="str">
        <f>IFERROR(VLOOKUP(D21,Settings!D15:F31,2,FALSE),"")</f>
        <v>Ritu Sen</v>
      </c>
      <c r="F21" s="12" t="s">
        <v>54</v>
      </c>
      <c r="G21" s="12" t="str">
        <f>IFERROR(VLOOKUP(D21,Settings!D15:F31,3,FALSE),"")</f>
        <v>Business Analyst</v>
      </c>
      <c r="H21" s="12" t="str">
        <f>IFERROR(VLOOKUP(E21,Settings!E15:G31,3,FALSE),"")</f>
        <v>Strategy</v>
      </c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23">
        <f t="shared" si="4"/>
        <v>0</v>
      </c>
      <c r="AO21" s="23">
        <f t="shared" si="5"/>
        <v>0</v>
      </c>
      <c r="AP21" s="23">
        <f t="shared" si="17"/>
        <v>0</v>
      </c>
      <c r="AQ21" s="23">
        <f t="shared" si="6"/>
        <v>0</v>
      </c>
      <c r="AR21" s="23">
        <f t="shared" si="7"/>
        <v>0</v>
      </c>
      <c r="AS21" s="23">
        <f t="shared" si="8"/>
        <v>0</v>
      </c>
      <c r="AT21" s="23">
        <f t="shared" si="9"/>
        <v>0</v>
      </c>
      <c r="AU21" s="23">
        <f t="shared" si="10"/>
        <v>0</v>
      </c>
      <c r="AV21" s="23">
        <f t="shared" si="11"/>
        <v>0</v>
      </c>
      <c r="AW21" s="23">
        <f t="shared" si="12"/>
        <v>0</v>
      </c>
      <c r="AX21" s="23">
        <f t="shared" si="13"/>
        <v>0</v>
      </c>
      <c r="AY21" s="23">
        <f t="shared" si="14"/>
        <v>0</v>
      </c>
      <c r="AZ21" s="23">
        <f t="shared" si="15"/>
        <v>0</v>
      </c>
      <c r="BA21" s="23">
        <f t="shared" si="2"/>
        <v>0</v>
      </c>
      <c r="BB21" s="24">
        <v>0</v>
      </c>
      <c r="BC21" s="24">
        <f t="shared" si="16"/>
        <v>0</v>
      </c>
      <c r="BD21" s="24">
        <f t="shared" si="3"/>
        <v>0</v>
      </c>
      <c r="BE21" s="24" cm="1">
        <f t="array" ref="BE21">SUMPRODUCT((TEXT($I$7:$AM$8,"dddd")="Sun")*($I21:$AM21="P")*(BB21/28))</f>
        <v>0</v>
      </c>
      <c r="BF21" s="23"/>
    </row>
    <row r="22" spans="4:58" ht="36" x14ac:dyDescent="0.55000000000000004">
      <c r="D22" s="12" t="str">
        <f>Settings!D16</f>
        <v>EMP013</v>
      </c>
      <c r="E22" s="12" t="str">
        <f>IFERROR(VLOOKUP(D22,Settings!D16:F32,2,FALSE),"")</f>
        <v>Manish Kulkarni</v>
      </c>
      <c r="F22" s="12" t="s">
        <v>54</v>
      </c>
      <c r="G22" s="12" t="str">
        <f>IFERROR(VLOOKUP(D22,Settings!D16:F32,3,FALSE),"")</f>
        <v>System Administrator</v>
      </c>
      <c r="H22" s="12" t="str">
        <f>IFERROR(VLOOKUP(E22,Settings!E16:G32,3,FALSE),"")</f>
        <v>IT Support</v>
      </c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23">
        <f t="shared" si="4"/>
        <v>0</v>
      </c>
      <c r="AO22" s="23">
        <f t="shared" si="5"/>
        <v>0</v>
      </c>
      <c r="AP22" s="23">
        <f t="shared" si="17"/>
        <v>0</v>
      </c>
      <c r="AQ22" s="23">
        <f t="shared" si="6"/>
        <v>0</v>
      </c>
      <c r="AR22" s="23">
        <f t="shared" si="7"/>
        <v>0</v>
      </c>
      <c r="AS22" s="23">
        <f t="shared" si="8"/>
        <v>0</v>
      </c>
      <c r="AT22" s="23">
        <f t="shared" si="9"/>
        <v>0</v>
      </c>
      <c r="AU22" s="23">
        <f t="shared" si="10"/>
        <v>0</v>
      </c>
      <c r="AV22" s="23">
        <f t="shared" si="11"/>
        <v>0</v>
      </c>
      <c r="AW22" s="23">
        <f t="shared" si="12"/>
        <v>0</v>
      </c>
      <c r="AX22" s="23">
        <f t="shared" si="13"/>
        <v>0</v>
      </c>
      <c r="AY22" s="23">
        <f t="shared" si="14"/>
        <v>0</v>
      </c>
      <c r="AZ22" s="23">
        <f t="shared" si="15"/>
        <v>0</v>
      </c>
      <c r="BA22" s="23">
        <f t="shared" si="2"/>
        <v>0</v>
      </c>
      <c r="BB22" s="24">
        <v>0</v>
      </c>
      <c r="BC22" s="24">
        <f t="shared" si="16"/>
        <v>0</v>
      </c>
      <c r="BD22" s="24">
        <f t="shared" si="3"/>
        <v>0</v>
      </c>
      <c r="BE22" s="24" cm="1">
        <f t="array" ref="BE22">SUMPRODUCT((TEXT($I$7:$AM$8,"dddd")="Sun")*($I22:$AM22="P")*(BB22/28))</f>
        <v>0</v>
      </c>
      <c r="BF22" s="23"/>
    </row>
    <row r="23" spans="4:58" ht="36" x14ac:dyDescent="0.55000000000000004">
      <c r="D23" s="12" t="str">
        <f>Settings!D17</f>
        <v>EMP014</v>
      </c>
      <c r="E23" s="12" t="str">
        <f>IFERROR(VLOOKUP(D23,Settings!D17:F33,2,FALSE),"")</f>
        <v>Divya Pillai</v>
      </c>
      <c r="F23" s="12" t="s">
        <v>54</v>
      </c>
      <c r="G23" s="12" t="str">
        <f>IFERROR(VLOOKUP(D23,Settings!D17:F33,3,FALSE),"")</f>
        <v>Legal Advisor</v>
      </c>
      <c r="H23" s="12" t="str">
        <f>IFERROR(VLOOKUP(E23,Settings!E17:G33,3,FALSE),"")</f>
        <v>Legal</v>
      </c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23">
        <f t="shared" si="4"/>
        <v>0</v>
      </c>
      <c r="AO23" s="23">
        <f>COUNTIF($I23:$AM23,"=EL")</f>
        <v>0</v>
      </c>
      <c r="AP23" s="23">
        <f t="shared" si="17"/>
        <v>0</v>
      </c>
      <c r="AQ23" s="23">
        <f t="shared" si="6"/>
        <v>0</v>
      </c>
      <c r="AR23" s="23">
        <f t="shared" si="7"/>
        <v>0</v>
      </c>
      <c r="AS23" s="23">
        <f t="shared" si="8"/>
        <v>0</v>
      </c>
      <c r="AT23" s="23">
        <f t="shared" si="9"/>
        <v>0</v>
      </c>
      <c r="AU23" s="23">
        <f t="shared" si="10"/>
        <v>0</v>
      </c>
      <c r="AV23" s="23">
        <f t="shared" si="11"/>
        <v>0</v>
      </c>
      <c r="AW23" s="23">
        <f t="shared" si="12"/>
        <v>0</v>
      </c>
      <c r="AX23" s="23">
        <f t="shared" si="13"/>
        <v>0</v>
      </c>
      <c r="AY23" s="23">
        <f t="shared" si="14"/>
        <v>0</v>
      </c>
      <c r="AZ23" s="23">
        <f t="shared" si="15"/>
        <v>0</v>
      </c>
      <c r="BA23" s="23">
        <f>IF(E23&lt;&gt;"",AN23+AO23+AP23+AQ23+0.05*AR23+AS23+AT23+AU23+AX23+AY23)</f>
        <v>0</v>
      </c>
      <c r="BB23" s="24">
        <v>0</v>
      </c>
      <c r="BC23" s="24">
        <f t="shared" si="16"/>
        <v>0</v>
      </c>
      <c r="BD23" s="24">
        <f t="shared" si="3"/>
        <v>0</v>
      </c>
      <c r="BE23" s="24" cm="1">
        <f t="array" ref="BE23">SUMPRODUCT((TEXT($I$7:$AM$8,"dddd")="Sun")*($I23:$AM23="P")*(BB23/28))</f>
        <v>0</v>
      </c>
      <c r="BF23" s="23"/>
    </row>
    <row r="24" spans="4:58" ht="36" x14ac:dyDescent="0.55000000000000004">
      <c r="D24" s="12" t="str">
        <f>Settings!D18</f>
        <v>EMP015</v>
      </c>
      <c r="E24" s="12" t="str">
        <f>IFERROR(VLOOKUP(D24,Settings!D18:F34,2,FALSE),"")</f>
        <v>Sameer Khan</v>
      </c>
      <c r="F24" s="12" t="s">
        <v>54</v>
      </c>
      <c r="G24" s="12" t="str">
        <f>IFERROR(VLOOKUP(D24,Settings!D18:F34,3,FALSE),"")</f>
        <v>Sales Manager</v>
      </c>
      <c r="H24" s="12" t="str">
        <f>IFERROR(VLOOKUP(E24,Settings!E18:G34,3,FALSE),"")</f>
        <v>Sales</v>
      </c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23">
        <f t="shared" si="4"/>
        <v>0</v>
      </c>
      <c r="AO24" s="23">
        <f t="shared" si="5"/>
        <v>0</v>
      </c>
      <c r="AP24" s="23">
        <f t="shared" si="17"/>
        <v>0</v>
      </c>
      <c r="AQ24" s="23">
        <f t="shared" si="6"/>
        <v>0</v>
      </c>
      <c r="AR24" s="23">
        <f t="shared" si="7"/>
        <v>0</v>
      </c>
      <c r="AS24" s="23">
        <f t="shared" si="8"/>
        <v>0</v>
      </c>
      <c r="AT24" s="23">
        <f t="shared" si="9"/>
        <v>0</v>
      </c>
      <c r="AU24" s="23">
        <f t="shared" si="10"/>
        <v>0</v>
      </c>
      <c r="AV24" s="23">
        <f t="shared" si="11"/>
        <v>0</v>
      </c>
      <c r="AW24" s="23">
        <f t="shared" si="12"/>
        <v>0</v>
      </c>
      <c r="AX24" s="23">
        <f t="shared" si="13"/>
        <v>0</v>
      </c>
      <c r="AY24" s="23">
        <f t="shared" si="14"/>
        <v>0</v>
      </c>
      <c r="AZ24" s="23">
        <f t="shared" si="15"/>
        <v>0</v>
      </c>
      <c r="BA24" s="23">
        <f t="shared" si="2"/>
        <v>0</v>
      </c>
      <c r="BB24" s="24">
        <v>0</v>
      </c>
      <c r="BC24" s="24">
        <f t="shared" si="16"/>
        <v>0</v>
      </c>
      <c r="BD24" s="24">
        <f t="shared" si="3"/>
        <v>0</v>
      </c>
      <c r="BE24" s="24" cm="1">
        <f t="array" ref="BE24">SUMPRODUCT((TEXT($I$7:$AM$8,"dddd")="Sun")*($I24:$AM24="P")*(BB24/28))</f>
        <v>0</v>
      </c>
      <c r="BF24" s="23"/>
    </row>
    <row r="25" spans="4:58" ht="36" x14ac:dyDescent="0.55000000000000004">
      <c r="D25" s="12" t="str">
        <f>Settings!D19</f>
        <v>EMP016</v>
      </c>
      <c r="E25" s="12" t="str">
        <f>IFERROR(VLOOKUP(D25,Settings!D19:F35,2,FALSE),"")</f>
        <v>Pooja Rao</v>
      </c>
      <c r="F25" s="12" t="s">
        <v>54</v>
      </c>
      <c r="G25" s="12" t="str">
        <f>IFERROR(VLOOKUP(D25,Settings!D19:F35,3,FALSE),"")</f>
        <v>Customer Support Lead</v>
      </c>
      <c r="H25" s="12" t="str">
        <f>IFERROR(VLOOKUP(E25,Settings!E19:G35,3,FALSE),"")</f>
        <v>Customer Success</v>
      </c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23">
        <f t="shared" si="4"/>
        <v>0</v>
      </c>
      <c r="AO25" s="23">
        <f t="shared" si="5"/>
        <v>0</v>
      </c>
      <c r="AP25" s="23">
        <f t="shared" si="17"/>
        <v>0</v>
      </c>
      <c r="AQ25" s="23">
        <f t="shared" si="6"/>
        <v>0</v>
      </c>
      <c r="AR25" s="23">
        <f t="shared" si="7"/>
        <v>0</v>
      </c>
      <c r="AS25" s="23">
        <f t="shared" si="8"/>
        <v>0</v>
      </c>
      <c r="AT25" s="23">
        <f t="shared" si="9"/>
        <v>0</v>
      </c>
      <c r="AU25" s="23">
        <f t="shared" si="10"/>
        <v>0</v>
      </c>
      <c r="AV25" s="23">
        <f t="shared" si="11"/>
        <v>0</v>
      </c>
      <c r="AW25" s="23">
        <f t="shared" si="12"/>
        <v>0</v>
      </c>
      <c r="AX25" s="23">
        <f t="shared" si="13"/>
        <v>0</v>
      </c>
      <c r="AY25" s="23">
        <f t="shared" si="14"/>
        <v>0</v>
      </c>
      <c r="AZ25" s="23">
        <f t="shared" si="15"/>
        <v>0</v>
      </c>
      <c r="BA25" s="23">
        <f>IF(E25&lt;&gt;"",AN25+AO25+AP25+AQ25+0.05*AR25+AS25+AT25+AU25+AX25+AY25)</f>
        <v>0</v>
      </c>
      <c r="BB25" s="24">
        <v>0</v>
      </c>
      <c r="BC25" s="24">
        <f t="shared" si="16"/>
        <v>0</v>
      </c>
      <c r="BD25" s="24">
        <f t="shared" si="3"/>
        <v>0</v>
      </c>
      <c r="BE25" s="24" cm="1">
        <f t="array" ref="BE25">SUMPRODUCT((TEXT($I$7:$AM$8,"dddd")="Sun")*($I25:$AM25="P")*(BB25/28))</f>
        <v>0</v>
      </c>
      <c r="BF25" s="23"/>
    </row>
    <row r="26" spans="4:58" ht="36" x14ac:dyDescent="0.55000000000000004">
      <c r="D26" s="12" t="str">
        <f>Settings!D20</f>
        <v>EMP017</v>
      </c>
      <c r="E26" s="12" t="str">
        <f>IFERROR(VLOOKUP(D26,Settings!D20:F36,2,FALSE),"")</f>
        <v>Alok Tiwari</v>
      </c>
      <c r="F26" s="12" t="s">
        <v>54</v>
      </c>
      <c r="G26" s="12" t="str">
        <f>IFERROR(VLOOKUP(D26,Settings!D20:F36,3,FALSE),"")</f>
        <v>Operations Manager</v>
      </c>
      <c r="H26" s="12" t="str">
        <f>IFERROR(VLOOKUP(E26,Settings!E20:G36,3,FALSE),"")</f>
        <v>Operations</v>
      </c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23">
        <f t="shared" si="4"/>
        <v>0</v>
      </c>
      <c r="AO26" s="23">
        <f t="shared" si="5"/>
        <v>0</v>
      </c>
      <c r="AP26" s="23">
        <f t="shared" si="17"/>
        <v>0</v>
      </c>
      <c r="AQ26" s="23">
        <f t="shared" si="6"/>
        <v>0</v>
      </c>
      <c r="AR26" s="23">
        <f t="shared" si="7"/>
        <v>0</v>
      </c>
      <c r="AS26" s="23">
        <f t="shared" si="8"/>
        <v>0</v>
      </c>
      <c r="AT26" s="23">
        <f t="shared" si="9"/>
        <v>0</v>
      </c>
      <c r="AU26" s="23">
        <f t="shared" si="10"/>
        <v>0</v>
      </c>
      <c r="AV26" s="23">
        <f t="shared" si="11"/>
        <v>0</v>
      </c>
      <c r="AW26" s="23">
        <f t="shared" si="12"/>
        <v>0</v>
      </c>
      <c r="AX26" s="23">
        <f t="shared" si="13"/>
        <v>0</v>
      </c>
      <c r="AY26" s="23">
        <f t="shared" si="14"/>
        <v>0</v>
      </c>
      <c r="AZ26" s="23">
        <f t="shared" si="15"/>
        <v>0</v>
      </c>
      <c r="BA26" s="23">
        <f>IF(E26&lt;&gt;"",AN26+AO26+AP26+AQ26+0.05*AR26+AS26+AT26+AU26+AX26+AY26)</f>
        <v>0</v>
      </c>
      <c r="BB26" s="24">
        <v>0</v>
      </c>
      <c r="BC26" s="24">
        <f t="shared" si="16"/>
        <v>0</v>
      </c>
      <c r="BD26" s="24">
        <f t="shared" si="3"/>
        <v>0</v>
      </c>
      <c r="BE26" s="24" cm="1">
        <f t="array" ref="BE26">SUMPRODUCT((TEXT($I$7:$AM$8,"dddd")="Sun")*($I26:$AM26="P")*(BB26/28))</f>
        <v>0</v>
      </c>
      <c r="BF26" s="23"/>
    </row>
    <row r="27" spans="4:58" ht="36" x14ac:dyDescent="0.55000000000000004">
      <c r="D27" s="12" t="str">
        <f>Settings!D21</f>
        <v>EMP018</v>
      </c>
      <c r="E27" s="12" t="str">
        <f>IFERROR(VLOOKUP(D27,Settings!D21:F37,2,FALSE),"")</f>
        <v>Tanvi Deshmukh</v>
      </c>
      <c r="F27" s="12" t="s">
        <v>54</v>
      </c>
      <c r="G27" s="12" t="str">
        <f>IFERROR(VLOOKUP(D27,Settings!D21:F37,3,FALSE),"")</f>
        <v>Accountant</v>
      </c>
      <c r="H27" s="12" t="str">
        <f>IFERROR(VLOOKUP(E27,Settings!E21:G37,3,FALSE),"")</f>
        <v>Finance</v>
      </c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23">
        <f t="shared" si="4"/>
        <v>0</v>
      </c>
      <c r="AO27" s="23">
        <f t="shared" si="5"/>
        <v>0</v>
      </c>
      <c r="AP27" s="23">
        <f t="shared" si="17"/>
        <v>0</v>
      </c>
      <c r="AQ27" s="23">
        <f t="shared" si="6"/>
        <v>0</v>
      </c>
      <c r="AR27" s="23">
        <f t="shared" si="7"/>
        <v>0</v>
      </c>
      <c r="AS27" s="23">
        <f t="shared" si="8"/>
        <v>0</v>
      </c>
      <c r="AT27" s="23">
        <f t="shared" si="9"/>
        <v>0</v>
      </c>
      <c r="AU27" s="23">
        <f t="shared" si="10"/>
        <v>0</v>
      </c>
      <c r="AV27" s="23">
        <f t="shared" si="11"/>
        <v>0</v>
      </c>
      <c r="AW27" s="23">
        <f t="shared" si="12"/>
        <v>0</v>
      </c>
      <c r="AX27" s="23">
        <f t="shared" si="13"/>
        <v>0</v>
      </c>
      <c r="AY27" s="23">
        <f t="shared" si="14"/>
        <v>0</v>
      </c>
      <c r="AZ27" s="23">
        <f t="shared" si="15"/>
        <v>0</v>
      </c>
      <c r="BA27" s="23">
        <f>IF(E27&lt;&gt;"",AN27+AO27+AP27+AQ27+0.05*AR27+AS27+AT27+AU27+AX27+AY27)</f>
        <v>0</v>
      </c>
      <c r="BB27" s="24">
        <v>0</v>
      </c>
      <c r="BC27" s="24">
        <f t="shared" si="16"/>
        <v>0</v>
      </c>
      <c r="BD27" s="24">
        <f t="shared" si="3"/>
        <v>0</v>
      </c>
      <c r="BE27" s="24" cm="1">
        <f t="array" ref="BE27">SUMPRODUCT((TEXT($I$7:$AM$8,"dddd")="Sun")*($I27:$AM27="P")*(BB27/28))</f>
        <v>0</v>
      </c>
      <c r="BF27" s="23"/>
    </row>
    <row r="28" spans="4:58" ht="36" x14ac:dyDescent="0.55000000000000004">
      <c r="D28" s="12" t="str">
        <f>Settings!D22</f>
        <v>EMP019</v>
      </c>
      <c r="E28" s="12" t="str">
        <f>IFERROR(VLOOKUP(D28,Settings!D22:F38,2,FALSE),"")</f>
        <v>Kunal Roy</v>
      </c>
      <c r="F28" s="12" t="s">
        <v>54</v>
      </c>
      <c r="G28" s="12" t="str">
        <f>IFERROR(VLOOKUP(D28,Settings!D22:F38,3,FALSE),"")</f>
        <v>Frontend Developer</v>
      </c>
      <c r="H28" s="12" t="str">
        <f>IFERROR(VLOOKUP(E28,Settings!E22:G38,3,FALSE),"")</f>
        <v>Engineering</v>
      </c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23">
        <f t="shared" si="4"/>
        <v>0</v>
      </c>
      <c r="AO28" s="23">
        <f t="shared" si="5"/>
        <v>0</v>
      </c>
      <c r="AP28" s="23">
        <f t="shared" si="17"/>
        <v>0</v>
      </c>
      <c r="AQ28" s="23">
        <f t="shared" si="6"/>
        <v>0</v>
      </c>
      <c r="AR28" s="23">
        <f t="shared" si="7"/>
        <v>0</v>
      </c>
      <c r="AS28" s="23">
        <f t="shared" si="8"/>
        <v>0</v>
      </c>
      <c r="AT28" s="23">
        <f t="shared" si="9"/>
        <v>0</v>
      </c>
      <c r="AU28" s="23">
        <f t="shared" si="10"/>
        <v>0</v>
      </c>
      <c r="AV28" s="23">
        <f t="shared" si="11"/>
        <v>0</v>
      </c>
      <c r="AW28" s="23">
        <f t="shared" si="12"/>
        <v>0</v>
      </c>
      <c r="AX28" s="23">
        <f t="shared" si="13"/>
        <v>0</v>
      </c>
      <c r="AY28" s="23">
        <f t="shared" si="14"/>
        <v>0</v>
      </c>
      <c r="AZ28" s="23">
        <f t="shared" si="15"/>
        <v>0</v>
      </c>
      <c r="BA28" s="23">
        <f>IF(E28&lt;&gt;"",AN28+AO28+AP28+AQ28+0.05*AR28+AS28+AT28+AU28+AX28+AY28)</f>
        <v>0</v>
      </c>
      <c r="BB28" s="24">
        <v>0</v>
      </c>
      <c r="BC28" s="24">
        <f>IF(E$10&lt;&gt;"",ROUND(BB28/COUNTA($I$9:$AM$9)*$BA28,2),"")</f>
        <v>0</v>
      </c>
      <c r="BD28" s="24">
        <f t="shared" si="3"/>
        <v>0</v>
      </c>
      <c r="BE28" s="24" cm="1">
        <f t="array" ref="BE28">SUMPRODUCT((TEXT($I$7:$AM$8,"dddd")="Sun")*($I28:$AM28="P")*(BB28/28))</f>
        <v>0</v>
      </c>
      <c r="BF28" s="23"/>
    </row>
  </sheetData>
  <mergeCells count="56">
    <mergeCell ref="BD7:BD9"/>
    <mergeCell ref="BE7:BE9"/>
    <mergeCell ref="BF7:BF9"/>
    <mergeCell ref="F7:F9"/>
    <mergeCell ref="AX7:AX8"/>
    <mergeCell ref="AY7:AY8"/>
    <mergeCell ref="AZ7:AZ9"/>
    <mergeCell ref="BA7:BA9"/>
    <mergeCell ref="BB7:BB9"/>
    <mergeCell ref="BC7:BC9"/>
    <mergeCell ref="AR7:AR8"/>
    <mergeCell ref="AS7:AS8"/>
    <mergeCell ref="AT7:AT8"/>
    <mergeCell ref="AU7:AU8"/>
    <mergeCell ref="AV7:AV8"/>
    <mergeCell ref="AW7:AW8"/>
    <mergeCell ref="AQ7:AQ8"/>
    <mergeCell ref="AF7:AF8"/>
    <mergeCell ref="AG7:AG8"/>
    <mergeCell ref="AH7:AH8"/>
    <mergeCell ref="AI7:AI8"/>
    <mergeCell ref="AJ7:AJ8"/>
    <mergeCell ref="AK7:AK8"/>
    <mergeCell ref="AL7:AL8"/>
    <mergeCell ref="AM7:AM8"/>
    <mergeCell ref="AN7:AN8"/>
    <mergeCell ref="AO7:AO8"/>
    <mergeCell ref="AP7:AP8"/>
    <mergeCell ref="AE7:AE8"/>
    <mergeCell ref="T7:T8"/>
    <mergeCell ref="U7:U8"/>
    <mergeCell ref="V7:V8"/>
    <mergeCell ref="W7:W8"/>
    <mergeCell ref="X7:X8"/>
    <mergeCell ref="Y7:Y8"/>
    <mergeCell ref="Z7:Z8"/>
    <mergeCell ref="AA7:AA8"/>
    <mergeCell ref="AB7:AB8"/>
    <mergeCell ref="AC7:AC8"/>
    <mergeCell ref="AD7:AD8"/>
    <mergeCell ref="S7:S8"/>
    <mergeCell ref="D2:AY5"/>
    <mergeCell ref="D7:D9"/>
    <mergeCell ref="E7:E9"/>
    <mergeCell ref="G7:G9"/>
    <mergeCell ref="H7:H9"/>
    <mergeCell ref="I7:I8"/>
    <mergeCell ref="J7:J8"/>
    <mergeCell ref="K7:K8"/>
    <mergeCell ref="L7:L8"/>
    <mergeCell ref="M7:M8"/>
    <mergeCell ref="N7:N8"/>
    <mergeCell ref="O7:O8"/>
    <mergeCell ref="P7:P8"/>
    <mergeCell ref="Q7:Q8"/>
    <mergeCell ref="R7:R8"/>
  </mergeCells>
  <conditionalFormatting sqref="A2">
    <cfRule type="colorScale" priority="17">
      <colorScale>
        <cfvo type="min"/>
        <cfvo type="max"/>
        <color rgb="FF63BE7B"/>
        <color rgb="FFFCFCFF"/>
      </colorScale>
    </cfRule>
  </conditionalFormatting>
  <conditionalFormatting sqref="I9:AM9 I7:AM7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9:AM28">
    <cfRule type="expression" dxfId="15" priority="19">
      <formula>$I$9&lt;&gt;""</formula>
    </cfRule>
  </conditionalFormatting>
  <conditionalFormatting sqref="I10:AM28">
    <cfRule type="expression" dxfId="14" priority="38">
      <formula>I$7="Sun"</formula>
    </cfRule>
  </conditionalFormatting>
  <conditionalFormatting sqref="AK9:AM9">
    <cfRule type="expression" dxfId="13" priority="20">
      <formula>$AK$9:$AM$9="EOM"</formula>
    </cfRule>
    <cfRule type="expression" dxfId="12" priority="21">
      <formula>$AK$9:$AM$9="EMO"</formula>
    </cfRule>
  </conditionalFormatting>
  <conditionalFormatting sqref="AN9">
    <cfRule type="expression" dxfId="11" priority="12">
      <formula>$AN$9="P"</formula>
    </cfRule>
  </conditionalFormatting>
  <conditionalFormatting sqref="AN9:AY9">
    <cfRule type="expression" dxfId="10" priority="13">
      <formula>$AN$9</formula>
    </cfRule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{ADC29DFB-C226-4927-AA46-4595228D282B}</x14:id>
        </ext>
      </extLst>
    </cfRule>
  </conditionalFormatting>
  <conditionalFormatting sqref="AO9">
    <cfRule type="expression" dxfId="9" priority="10">
      <formula>$AO$9="PL"</formula>
    </cfRule>
    <cfRule type="expression" priority="11">
      <formula>$AO$9="PL"</formula>
    </cfRule>
  </conditionalFormatting>
  <conditionalFormatting sqref="AO9:AY9">
    <cfRule type="colorScale" priority="15">
      <colorScale>
        <cfvo type="min"/>
        <cfvo type="max"/>
        <color rgb="FF63BE7B"/>
        <color rgb="FFFFEF9C"/>
      </colorScale>
    </cfRule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9:AY9">
    <cfRule type="expression" dxfId="8" priority="9">
      <formula>$AP$9="ML"</formula>
    </cfRule>
  </conditionalFormatting>
  <conditionalFormatting sqref="AQ9">
    <cfRule type="expression" dxfId="7" priority="8">
      <formula>$AQ$9="MPL"</formula>
    </cfRule>
  </conditionalFormatting>
  <conditionalFormatting sqref="AR9:AY9">
    <cfRule type="expression" dxfId="6" priority="7">
      <formula>$AR$9="HD"</formula>
    </cfRule>
  </conditionalFormatting>
  <conditionalFormatting sqref="AT9">
    <cfRule type="expression" dxfId="5" priority="5">
      <formula>$AT$9="H"</formula>
    </cfRule>
  </conditionalFormatting>
  <conditionalFormatting sqref="AU9 AY9 AS9 AW9">
    <cfRule type="expression" dxfId="4" priority="6">
      <formula>$AS$9="WFH"</formula>
    </cfRule>
  </conditionalFormatting>
  <conditionalFormatting sqref="AU9">
    <cfRule type="expression" dxfId="3" priority="4">
      <formula>$AU$9="WO"</formula>
    </cfRule>
  </conditionalFormatting>
  <conditionalFormatting sqref="AV9">
    <cfRule type="expression" dxfId="2" priority="3">
      <formula>$AV$9="A"</formula>
    </cfRule>
  </conditionalFormatting>
  <conditionalFormatting sqref="AX9">
    <cfRule type="expression" dxfId="1" priority="2">
      <formula>$AX$9="CL"</formula>
    </cfRule>
  </conditionalFormatting>
  <conditionalFormatting sqref="AY9">
    <cfRule type="expression" dxfId="0" priority="1">
      <formula>$AY$9="SL"</formula>
    </cfRule>
  </conditionalFormatting>
  <dataValidations count="1">
    <dataValidation type="list" allowBlank="1" showInputMessage="1" showErrorMessage="1" sqref="J10:AM28 I11:I28" xr:uid="{E06C2351-747B-474F-93C5-7EAF3100305E}">
      <formula1>$AN$9:$AY$9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DC29DFB-C226-4927-AA46-4595228D282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AN9:AY9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7069551F-AF1D-4C5B-97AA-D12C111B85ED}">
          <x14:formula1>
            <xm:f>Settings!$C$4:$C$15</xm:f>
          </x14:formula1>
          <xm:sqref>A2</xm:sqref>
        </x14:dataValidation>
        <x14:dataValidation type="list" allowBlank="1" showInputMessage="1" showErrorMessage="1" xr:uid="{6FF96794-4B92-4E20-975F-0B01F8283419}">
          <x14:formula1>
            <xm:f>Settings!$A$4:$A$6</xm:f>
          </x14:formula1>
          <xm:sqref>C2</xm:sqref>
        </x14:dataValidation>
        <x14:dataValidation type="list" allowBlank="1" showInputMessage="1" showErrorMessage="1" xr:uid="{9A737B1F-9734-41F5-85FD-88F4F694FB93}">
          <x14:formula1>
            <xm:f>Settings!$L$5:$L$7</xm:f>
          </x14:formula1>
          <xm:sqref>F10:F28</xm:sqref>
        </x14:dataValidation>
        <x14:dataValidation type="list" allowBlank="1" showInputMessage="1" showErrorMessage="1" xr:uid="{18B9D328-E2F7-4087-BCDB-8ED535C3E2A5}">
          <x14:formula1>
            <xm:f>Settings!$I$6:$I$17</xm:f>
          </x14:formula1>
          <xm:sqref>I10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D9AE3-2B7A-4604-8096-A42A6BC985F8}">
  <dimension ref="A3:L23"/>
  <sheetViews>
    <sheetView zoomScale="79" workbookViewId="0">
      <selection activeCell="E33" sqref="E33"/>
    </sheetView>
  </sheetViews>
  <sheetFormatPr defaultRowHeight="15" x14ac:dyDescent="0.25"/>
  <cols>
    <col min="1" max="1" width="8.28515625" bestFit="1" customWidth="1"/>
    <col min="3" max="3" width="13" bestFit="1" customWidth="1"/>
    <col min="4" max="4" width="24.7109375" bestFit="1" customWidth="1"/>
    <col min="5" max="5" width="26.5703125" bestFit="1" customWidth="1"/>
    <col min="6" max="6" width="33.140625" bestFit="1" customWidth="1"/>
    <col min="7" max="7" width="22.28515625" bestFit="1" customWidth="1"/>
    <col min="8" max="8" width="27" bestFit="1" customWidth="1"/>
    <col min="9" max="9" width="10.7109375" bestFit="1" customWidth="1"/>
    <col min="10" max="10" width="8.28515625" customWidth="1"/>
    <col min="11" max="11" width="14.5703125" customWidth="1"/>
    <col min="12" max="12" width="17.28515625" bestFit="1" customWidth="1"/>
    <col min="13" max="15" width="15.5703125" bestFit="1" customWidth="1"/>
    <col min="16" max="16" width="10.42578125" bestFit="1" customWidth="1"/>
  </cols>
  <sheetData>
    <row r="3" spans="1:12" ht="21" x14ac:dyDescent="0.35">
      <c r="A3" s="28" t="s">
        <v>0</v>
      </c>
      <c r="C3" s="1" t="s">
        <v>13</v>
      </c>
      <c r="D3" s="17" t="s">
        <v>48</v>
      </c>
      <c r="E3" s="2" t="s">
        <v>14</v>
      </c>
      <c r="F3" s="2" t="s">
        <v>40</v>
      </c>
      <c r="G3" s="2" t="s">
        <v>47</v>
      </c>
    </row>
    <row r="4" spans="1:12" ht="21" x14ac:dyDescent="0.35">
      <c r="A4" s="28">
        <v>2026</v>
      </c>
      <c r="C4" s="1" t="s">
        <v>1</v>
      </c>
      <c r="D4" s="16" t="s">
        <v>61</v>
      </c>
      <c r="E4" s="11" t="s">
        <v>62</v>
      </c>
      <c r="F4" s="11" t="s">
        <v>63</v>
      </c>
      <c r="G4" s="20" t="s">
        <v>64</v>
      </c>
      <c r="L4" s="1" t="s">
        <v>53</v>
      </c>
    </row>
    <row r="5" spans="1:12" ht="21" x14ac:dyDescent="0.35">
      <c r="A5" s="28">
        <v>2027</v>
      </c>
      <c r="C5" s="1" t="s">
        <v>2</v>
      </c>
      <c r="D5" s="16" t="s">
        <v>65</v>
      </c>
      <c r="E5" s="11" t="s">
        <v>66</v>
      </c>
      <c r="F5" s="11" t="s">
        <v>39</v>
      </c>
      <c r="G5" s="11" t="s">
        <v>67</v>
      </c>
      <c r="H5" s="3" t="s">
        <v>19</v>
      </c>
      <c r="I5" s="4" t="s">
        <v>20</v>
      </c>
      <c r="L5" s="1" t="s">
        <v>54</v>
      </c>
    </row>
    <row r="6" spans="1:12" ht="21" x14ac:dyDescent="0.35">
      <c r="A6" s="28">
        <v>2028</v>
      </c>
      <c r="C6" s="1" t="s">
        <v>3</v>
      </c>
      <c r="D6" s="16" t="s">
        <v>68</v>
      </c>
      <c r="E6" s="11" t="s">
        <v>69</v>
      </c>
      <c r="F6" s="11" t="s">
        <v>70</v>
      </c>
      <c r="G6" s="11" t="s">
        <v>71</v>
      </c>
      <c r="H6" s="5" t="s">
        <v>21</v>
      </c>
      <c r="I6" s="6" t="s">
        <v>18</v>
      </c>
      <c r="K6" t="s">
        <v>56</v>
      </c>
      <c r="L6" s="1" t="s">
        <v>55</v>
      </c>
    </row>
    <row r="7" spans="1:12" ht="21" x14ac:dyDescent="0.35">
      <c r="C7" s="1" t="s">
        <v>4</v>
      </c>
      <c r="D7" s="16" t="s">
        <v>72</v>
      </c>
      <c r="E7" s="11" t="s">
        <v>73</v>
      </c>
      <c r="F7" s="11" t="s">
        <v>74</v>
      </c>
      <c r="G7" s="11" t="s">
        <v>75</v>
      </c>
      <c r="H7" s="7" t="s">
        <v>44</v>
      </c>
      <c r="I7" s="8" t="s">
        <v>45</v>
      </c>
      <c r="L7" s="1" t="s">
        <v>57</v>
      </c>
    </row>
    <row r="8" spans="1:12" ht="21" x14ac:dyDescent="0.35">
      <c r="C8" s="1" t="s">
        <v>5</v>
      </c>
      <c r="D8" s="16" t="s">
        <v>76</v>
      </c>
      <c r="E8" s="11" t="s">
        <v>77</v>
      </c>
      <c r="F8" s="11" t="s">
        <v>78</v>
      </c>
      <c r="G8" s="11" t="s">
        <v>64</v>
      </c>
      <c r="H8" s="5" t="s">
        <v>59</v>
      </c>
      <c r="I8" s="6" t="s">
        <v>37</v>
      </c>
    </row>
    <row r="9" spans="1:12" ht="21" x14ac:dyDescent="0.35">
      <c r="C9" s="1" t="s">
        <v>6</v>
      </c>
      <c r="D9" s="16" t="s">
        <v>79</v>
      </c>
      <c r="E9" s="11" t="s">
        <v>80</v>
      </c>
      <c r="F9" s="11" t="s">
        <v>81</v>
      </c>
      <c r="G9" s="11" t="s">
        <v>82</v>
      </c>
      <c r="H9" s="7" t="s">
        <v>22</v>
      </c>
      <c r="I9" s="8" t="s">
        <v>23</v>
      </c>
    </row>
    <row r="10" spans="1:12" ht="21" x14ac:dyDescent="0.35">
      <c r="C10" s="1" t="s">
        <v>7</v>
      </c>
      <c r="D10" s="16" t="s">
        <v>83</v>
      </c>
      <c r="E10" s="11" t="s">
        <v>84</v>
      </c>
      <c r="F10" s="11" t="s">
        <v>85</v>
      </c>
      <c r="G10" s="11" t="s">
        <v>86</v>
      </c>
      <c r="H10" s="5" t="s">
        <v>24</v>
      </c>
      <c r="I10" s="6" t="s">
        <v>25</v>
      </c>
    </row>
    <row r="11" spans="1:12" ht="21" x14ac:dyDescent="0.35">
      <c r="C11" s="1" t="s">
        <v>8</v>
      </c>
      <c r="D11" s="16" t="s">
        <v>87</v>
      </c>
      <c r="E11" s="11" t="s">
        <v>88</v>
      </c>
      <c r="F11" s="11" t="s">
        <v>89</v>
      </c>
      <c r="G11" s="11" t="s">
        <v>90</v>
      </c>
      <c r="H11" s="7" t="s">
        <v>26</v>
      </c>
      <c r="I11" s="8" t="s">
        <v>27</v>
      </c>
    </row>
    <row r="12" spans="1:12" ht="21" x14ac:dyDescent="0.35">
      <c r="C12" s="1" t="s">
        <v>9</v>
      </c>
      <c r="D12" s="16" t="s">
        <v>91</v>
      </c>
      <c r="E12" s="11" t="s">
        <v>92</v>
      </c>
      <c r="F12" s="11" t="s">
        <v>93</v>
      </c>
      <c r="G12" s="11" t="s">
        <v>64</v>
      </c>
      <c r="H12" s="5" t="s">
        <v>28</v>
      </c>
      <c r="I12" s="6" t="s">
        <v>17</v>
      </c>
    </row>
    <row r="13" spans="1:12" ht="21" x14ac:dyDescent="0.35">
      <c r="C13" s="1" t="s">
        <v>10</v>
      </c>
      <c r="D13" s="16" t="s">
        <v>94</v>
      </c>
      <c r="E13" s="11" t="s">
        <v>95</v>
      </c>
      <c r="F13" s="11" t="s">
        <v>96</v>
      </c>
      <c r="G13" s="11" t="s">
        <v>97</v>
      </c>
      <c r="H13" s="7" t="s">
        <v>29</v>
      </c>
      <c r="I13" s="8" t="s">
        <v>30</v>
      </c>
    </row>
    <row r="14" spans="1:12" ht="21" x14ac:dyDescent="0.35">
      <c r="C14" s="1" t="s">
        <v>11</v>
      </c>
      <c r="D14" s="16" t="s">
        <v>98</v>
      </c>
      <c r="E14" s="11" t="s">
        <v>99</v>
      </c>
      <c r="F14" s="11" t="s">
        <v>100</v>
      </c>
      <c r="G14" s="11" t="s">
        <v>90</v>
      </c>
      <c r="H14" s="5" t="s">
        <v>31</v>
      </c>
      <c r="I14" s="6" t="s">
        <v>16</v>
      </c>
    </row>
    <row r="15" spans="1:12" ht="21" x14ac:dyDescent="0.35">
      <c r="C15" s="1" t="s">
        <v>12</v>
      </c>
      <c r="D15" s="16" t="s">
        <v>101</v>
      </c>
      <c r="E15" s="11" t="s">
        <v>102</v>
      </c>
      <c r="F15" s="11" t="s">
        <v>103</v>
      </c>
      <c r="G15" s="11" t="s">
        <v>104</v>
      </c>
      <c r="H15" s="7" t="s">
        <v>32</v>
      </c>
      <c r="I15" s="8" t="s">
        <v>33</v>
      </c>
    </row>
    <row r="16" spans="1:12" ht="21" x14ac:dyDescent="0.35">
      <c r="D16" s="16" t="s">
        <v>105</v>
      </c>
      <c r="E16" s="11" t="s">
        <v>106</v>
      </c>
      <c r="F16" s="11" t="s">
        <v>107</v>
      </c>
      <c r="G16" s="11" t="s">
        <v>108</v>
      </c>
      <c r="H16" s="9" t="s">
        <v>34</v>
      </c>
      <c r="I16" s="6" t="s">
        <v>35</v>
      </c>
    </row>
    <row r="17" spans="4:9" ht="21" x14ac:dyDescent="0.35">
      <c r="D17" s="16" t="s">
        <v>109</v>
      </c>
      <c r="E17" s="11" t="s">
        <v>110</v>
      </c>
      <c r="F17" s="11" t="s">
        <v>51</v>
      </c>
      <c r="G17" s="11" t="s">
        <v>38</v>
      </c>
      <c r="H17" s="10" t="s">
        <v>36</v>
      </c>
      <c r="I17" s="6" t="s">
        <v>60</v>
      </c>
    </row>
    <row r="18" spans="4:9" ht="21" x14ac:dyDescent="0.35">
      <c r="D18" s="16" t="s">
        <v>111</v>
      </c>
      <c r="E18" s="11" t="s">
        <v>112</v>
      </c>
      <c r="F18" s="11" t="s">
        <v>113</v>
      </c>
      <c r="G18" s="11" t="s">
        <v>114</v>
      </c>
    </row>
    <row r="19" spans="4:9" ht="21" x14ac:dyDescent="0.35">
      <c r="D19" s="16" t="s">
        <v>115</v>
      </c>
      <c r="E19" s="15" t="s">
        <v>116</v>
      </c>
      <c r="F19" s="15" t="s">
        <v>117</v>
      </c>
      <c r="G19" s="11" t="s">
        <v>118</v>
      </c>
    </row>
    <row r="20" spans="4:9" ht="21" x14ac:dyDescent="0.35">
      <c r="D20" s="8" t="s">
        <v>119</v>
      </c>
      <c r="E20" s="15" t="s">
        <v>120</v>
      </c>
      <c r="F20" s="15" t="s">
        <v>121</v>
      </c>
      <c r="G20" s="11" t="s">
        <v>122</v>
      </c>
    </row>
    <row r="21" spans="4:9" ht="21" x14ac:dyDescent="0.35">
      <c r="D21" s="8" t="s">
        <v>123</v>
      </c>
      <c r="E21" s="19" t="s">
        <v>124</v>
      </c>
      <c r="F21" s="19" t="s">
        <v>125</v>
      </c>
      <c r="G21" s="11" t="s">
        <v>86</v>
      </c>
    </row>
    <row r="22" spans="4:9" ht="21" x14ac:dyDescent="0.35">
      <c r="D22" s="8" t="s">
        <v>126</v>
      </c>
      <c r="E22" s="19" t="s">
        <v>127</v>
      </c>
      <c r="F22" s="19" t="s">
        <v>128</v>
      </c>
      <c r="G22" s="19" t="s">
        <v>64</v>
      </c>
    </row>
    <row r="23" spans="4:9" ht="21" x14ac:dyDescent="0.35">
      <c r="F23" s="11"/>
      <c r="G23" s="11"/>
    </row>
  </sheetData>
  <phoneticPr fontId="1" type="noConversion"/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 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Mamgai</dc:creator>
  <cp:lastModifiedBy>Hemraj Dhami</cp:lastModifiedBy>
  <dcterms:created xsi:type="dcterms:W3CDTF">2026-09-03T07:15:44Z</dcterms:created>
  <dcterms:modified xsi:type="dcterms:W3CDTF">2026-10-14T16:56:27Z</dcterms:modified>
</cp:coreProperties>
</file>